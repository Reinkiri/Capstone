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sumen" sheetId="2" r:id="rId5"/>
    <sheet state="visible" name="Casos" sheetId="3" r:id="rId6"/>
    <sheet state="visible" name="Defectos" sheetId="4" r:id="rId7"/>
    <sheet state="visible" name="Ciclos" sheetId="5" r:id="rId8"/>
  </sheets>
  <definedNames>
    <definedName hidden="1" localSheetId="2" name="_xlnm._FilterDatabase">Casos!$A$1:$N$56</definedName>
  </definedNames>
  <calcPr/>
  <extLst>
    <ext uri="GoogleSheetsCustomDataVersion2">
      <go:sheetsCustomData xmlns:go="http://customooxmlschemas.google.com/" r:id="rId9" roundtripDataChecksum="vvrpVeTcMzR4VxAG7HQq8dVsCqHEI4zpmMgq5jpgRYk="/>
    </ext>
  </extLst>
</workbook>
</file>

<file path=xl/sharedStrings.xml><?xml version="1.0" encoding="utf-8"?>
<sst xmlns="http://schemas.openxmlformats.org/spreadsheetml/2006/main" count="711" uniqueCount="395">
  <si>
    <t>Registro de resultados de pruebas — Dulce Día</t>
  </si>
  <si>
    <t>Propósito</t>
  </si>
  <si>
    <t>Registrar la ejecución real de los 55 casos del Plan de Pruebas, los defectos encontrados y el cumplimiento de los criterios de salida.</t>
  </si>
  <si>
    <t>Importante</t>
  </si>
  <si>
    <t>Este archivo NO contiene resultados. Todos los casos parten como “Por ejecutar”. Cada resultado debe ser el que realmente se obtenga al probar el sistema y debe respaldarse con una evidencia en el repositorio Git.</t>
  </si>
  <si>
    <t>Celdas que se completan</t>
  </si>
  <si>
    <t>Las celdas con fondo amarillo y letra azul (hoja Casos: columnas H a N; hoja Defectos: columnas B a K; hoja Ciclos: columnas C, D, E y K; hoja Resumen: B16). Todo lo demás se calcula solo.</t>
  </si>
  <si>
    <t>Cómo registrar un caso</t>
  </si>
  <si>
    <t>1) Ejecutar el caso con los pasos y datos indicados.  2) Guardar la evidencia (captura, registro o respuesta de la API) en pruebas/evidencias/CP-XX/ del repositorio.  3) Elegir Ciclo, Estado, Fecha y Ejecutado por.  4) Describir el resultado obtenido y la ruta de la evidencia.  5) Si falló, registrar el defecto en la hoja Defectos y poner su ID en la columna Defecto asociado.</t>
  </si>
  <si>
    <t>Estados</t>
  </si>
  <si>
    <t>Por ejecutar: aún no probado.  Aprobado: el resultado coincide con lo esperado.  Fallido: no coincide (requiere defecto).  Bloqueado: no se pudo probar por una dependencia o falla previa.</t>
  </si>
  <si>
    <t>Hojas</t>
  </si>
  <si>
    <t>Resumen (indicadores y criterios de salida) · Casos (los 55 casos) · Defectos (hasta 30) · Ciclos (avance por ciclo de prueba).</t>
  </si>
  <si>
    <t>ID</t>
  </si>
  <si>
    <t>Ejemplo de llenado (ilustrativo, no es un resultado real)</t>
  </si>
  <si>
    <t>Campo</t>
  </si>
  <si>
    <t>Módulo</t>
  </si>
  <si>
    <t>Requisito / HU</t>
  </si>
  <si>
    <t>Caso de prueba</t>
  </si>
  <si>
    <t>ID defecto</t>
  </si>
  <si>
    <t>Pasos y datos</t>
  </si>
  <si>
    <t>Resultado esperado</t>
  </si>
  <si>
    <t>Prioridad</t>
  </si>
  <si>
    <t>Ciclo</t>
  </si>
  <si>
    <t>Estado</t>
  </si>
  <si>
    <t>Caso asociado</t>
  </si>
  <si>
    <t>Fecha de ejecución</t>
  </si>
  <si>
    <t>Ejemplo de valor</t>
  </si>
  <si>
    <t>Ejecutado por</t>
  </si>
  <si>
    <t>Título</t>
  </si>
  <si>
    <t>Resultado obtenido</t>
  </si>
  <si>
    <t>Descripción y pasos para reproducir</t>
  </si>
  <si>
    <t>Resultado esperado vs. obtenido</t>
  </si>
  <si>
    <t>Evidencia (ruta en Git)</t>
  </si>
  <si>
    <t>Defecto asociado</t>
  </si>
  <si>
    <t>Severidad</t>
  </si>
  <si>
    <t>CP-01</t>
  </si>
  <si>
    <t>Responsable</t>
  </si>
  <si>
    <t>Fecha de detección</t>
  </si>
  <si>
    <t>Ciclo 1</t>
  </si>
  <si>
    <t>A. Autenticación y control de acceso</t>
  </si>
  <si>
    <t>Fecha de cierre</t>
  </si>
  <si>
    <t>Evidencia / enlace a la incidencia</t>
  </si>
  <si>
    <t>RF-10 · HU-08</t>
  </si>
  <si>
    <t>Aprobado</t>
  </si>
  <si>
    <t>Inicio de sesión con credenciales válidas</t>
  </si>
  <si>
    <t>1) Abrir la app. 2) Ingresar usuario y contraseña de un usuario activo con rol Atención. 3) Presionar ENTRAR.</t>
  </si>
  <si>
    <t>Se accede a la pantalla principal y solo se muestran las funciones del rol asignado.</t>
  </si>
  <si>
    <t>Alta</t>
  </si>
  <si>
    <t>dd/mm/aaaa (por ejemplo, 05/11/2026)</t>
  </si>
  <si>
    <t>DEF-001</t>
  </si>
  <si>
    <t>Camilo Rojas</t>
  </si>
  <si>
    <t>El pedido se guardó con estado Pendiente y apareció en la agenda de la fecha elegida.</t>
  </si>
  <si>
    <t>pruebas/evidencias/CP-06/agenda_pedido.png</t>
  </si>
  <si>
    <t>— (vacío si el caso aprobó) o DEF-001 si falló</t>
  </si>
  <si>
    <t>Por ejecutar</t>
  </si>
  <si>
    <t>Renato Carreño</t>
  </si>
  <si>
    <t>CP-02</t>
  </si>
  <si>
    <t>Inicio de sesión con credenciales inválidas</t>
  </si>
  <si>
    <t>Probar contraseña incorrecta, usuario inexistente y campos vacíos.</t>
  </si>
  <si>
    <t>Se rechaza el acceso con un mensaje de error claro, sin revelar cuál de los datos falló.</t>
  </si>
  <si>
    <t>CP-03</t>
  </si>
  <si>
    <t>DEF-002</t>
  </si>
  <si>
    <t>RF-10 · RF-11 · HU-07 · HU-08</t>
  </si>
  <si>
    <t>Restricción de funciones por rol</t>
  </si>
  <si>
    <t>Autenticarse con rol Producción e intentar editar precios, modificar el catálogo o bloquear días.</t>
  </si>
  <si>
    <t>La acción se deniega o la opción no está disponible; no se modifica ningún dato.</t>
  </si>
  <si>
    <t>CP-04</t>
  </si>
  <si>
    <t>RNF-05</t>
  </si>
  <si>
    <t>Acceso directo al panel de administración sin sesión</t>
  </si>
  <si>
    <t>Sin autenticarse, abrir la URL del panel /admin y sus subrutas.</t>
  </si>
  <si>
    <t>DEF-003</t>
  </si>
  <si>
    <t>Se redirige al inicio de sesión o se deniega el acceso.</t>
  </si>
  <si>
    <t>CP-05</t>
  </si>
  <si>
    <t>Protección de endpoints y almacenamiento de contraseñas</t>
  </si>
  <si>
    <t>Invocar endpoints POST/PUT/DELETE sin credenciales; revisar cómo se guarda la contraseña en la tabla usuarios.</t>
  </si>
  <si>
    <t>Las peticiones sin autorización se rechazan (401/403) y las contraseñas están cifradas con hash, no en texto plano.</t>
  </si>
  <si>
    <t>DEF-004</t>
  </si>
  <si>
    <t>Jorge Berroeta</t>
  </si>
  <si>
    <t>CP-06</t>
  </si>
  <si>
    <t>B. Registro y gestión de pedidos</t>
  </si>
  <si>
    <t>RF-01 · HU-01</t>
  </si>
  <si>
    <t>Registro de un pedido completo</t>
  </si>
  <si>
    <t>Datos: cliente, teléfono, categoría Torta, producto "Frambuesa Manjar Merengue", tamaño 20, cobertura, fecha y horario de entrega. Guardar.</t>
  </si>
  <si>
    <t>DEF-005</t>
  </si>
  <si>
    <t>El pedido se guarda en la base de datos central en tiempo real, con código único, y aparece en la agenda de la fecha elegida.</t>
  </si>
  <si>
    <t>CP-07</t>
  </si>
  <si>
    <t>RF-01</t>
  </si>
  <si>
    <t>Validación de campos obligatorios</t>
  </si>
  <si>
    <t>Intentar guardar sin nombre del cliente, sin teléfono o sin fecha de entrega.</t>
  </si>
  <si>
    <t>DEF-006</t>
  </si>
  <si>
    <t>No se guarda y se indican los campos faltantes.</t>
  </si>
  <si>
    <t>CP-08</t>
  </si>
  <si>
    <t>Cálculo del precio del pedido</t>
  </si>
  <si>
    <t>Crear pedidos con distintos tamaños y coberturas y comparar el precio con la tabla vigente.</t>
  </si>
  <si>
    <t>DEF-007</t>
  </si>
  <si>
    <t>El precio final y el total coinciden con el precio base del tamaño más el adicional de la cobertura.</t>
  </si>
  <si>
    <t>CP-09</t>
  </si>
  <si>
    <t>DEF-008</t>
  </si>
  <si>
    <t>Pedido en un día bloqueado</t>
  </si>
  <si>
    <t>Bloquear una fecha desde el calendario administrativo e intentar registrar un pedido para ese día.</t>
  </si>
  <si>
    <t>El sistema impide o advierte el agendamiento en la fecha cerrada.</t>
  </si>
  <si>
    <t>CP-10</t>
  </si>
  <si>
    <t>DEF-009</t>
  </si>
  <si>
    <t>RF-01 · RF-06</t>
  </si>
  <si>
    <t>Edición de un pedido existente</t>
  </si>
  <si>
    <t>Abrir "Editar Pedido", modificar producto, tamaño y horario, y guardar.</t>
  </si>
  <si>
    <t>Los cambios persisten, se recalcula el precio y la agenda se actualiza.</t>
  </si>
  <si>
    <t>Media</t>
  </si>
  <si>
    <t>Ciclo 2 (regresión)</t>
  </si>
  <si>
    <t>CP-11</t>
  </si>
  <si>
    <t>DEF-010</t>
  </si>
  <si>
    <t>Eliminación de un pedido</t>
  </si>
  <si>
    <t>Desde la agenda, eliminar un pedido y confirmar.</t>
  </si>
  <si>
    <t>Se pide confirmación; el pedido desaparece de la agenda y del panel de producción.</t>
  </si>
  <si>
    <t>CP-12</t>
  </si>
  <si>
    <t>DEF-011</t>
  </si>
  <si>
    <t>Visualización de la agenda</t>
  </si>
  <si>
    <t>Navegar entre meses y seleccionar un día con y sin pedidos.</t>
  </si>
  <si>
    <t>Los días con pedidos muestran un marcador y se listan cliente, producto, hora y cantidad del día elegido.</t>
  </si>
  <si>
    <t>CP-13</t>
  </si>
  <si>
    <t>RNF-01 · RF-06</t>
  </si>
  <si>
    <t>Integridad referencial del modelo de datos</t>
  </si>
  <si>
    <t>DEF-012</t>
  </si>
  <si>
    <t>Insertar un pedido con torta o usuario inexistente; eliminar una torta que tiene pedidos asociados.</t>
  </si>
  <si>
    <t>La base de datos o la API rechazan la operación; no quedan registros huérfanos.</t>
  </si>
  <si>
    <t>CP-14</t>
  </si>
  <si>
    <t>C. Estados, abonos y saldos</t>
  </si>
  <si>
    <t>RF-02 · HU-03</t>
  </si>
  <si>
    <t>Cambio de estado del pedido</t>
  </si>
  <si>
    <t>Pasar un pedido de Pendiente a Pagado y luego a Entregado.</t>
  </si>
  <si>
    <t>DEF-013</t>
  </si>
  <si>
    <t>Solo se permiten los estados predefinidos; cada cambio queda registrado con fecha y hora y se refleja en la agenda.</t>
  </si>
  <si>
    <t>CP-15</t>
  </si>
  <si>
    <t>RF-02</t>
  </si>
  <si>
    <t>Estado no permitido</t>
  </si>
  <si>
    <t>Enviar a la API un estado distinto de los tres definidos.</t>
  </si>
  <si>
    <t>La API rechaza la solicitud con un error de validación.</t>
  </si>
  <si>
    <t>DEF-014</t>
  </si>
  <si>
    <t>CP-16</t>
  </si>
  <si>
    <t>RF-03 · HU-04</t>
  </si>
  <si>
    <t>Registro de un abono parcial</t>
  </si>
  <si>
    <t>Pedido de $22.000; registrar un abono de $10.000.</t>
  </si>
  <si>
    <t>Monto abonado = $10.000 y saldo pendiente = $12.000, visibles en el detalle del pedido.</t>
  </si>
  <si>
    <t>DEF-015</t>
  </si>
  <si>
    <t>CP-17</t>
  </si>
  <si>
    <t>Abono superior al total</t>
  </si>
  <si>
    <t>Registrar un abono mayor al saldo pendiente.</t>
  </si>
  <si>
    <t>Se rechaza y el saldo no se altera.</t>
  </si>
  <si>
    <t>DEF-016</t>
  </si>
  <si>
    <t>CP-18</t>
  </si>
  <si>
    <t>RF-03</t>
  </si>
  <si>
    <t>Abonos con valores inválidos</t>
  </si>
  <si>
    <t>Ingresar 0, un valor negativo, texto o un formato numérico inválido.</t>
  </si>
  <si>
    <t>Se rechaza con un mensaje de validación.</t>
  </si>
  <si>
    <t>DEF-017</t>
  </si>
  <si>
    <t>CP-19</t>
  </si>
  <si>
    <t>Pago total del pedido</t>
  </si>
  <si>
    <t>Abonar el saldo restante completo.</t>
  </si>
  <si>
    <t>El saldo pendiente queda en $0 y el pedido puede pasar a Pagado según la regla de negocio.</t>
  </si>
  <si>
    <t>CP-20</t>
  </si>
  <si>
    <t>RNF-01</t>
  </si>
  <si>
    <t>Atomicidad de la transacción</t>
  </si>
  <si>
    <t>Simular un fallo (corte de red o excepción forzada) durante el registro de un pedido o de un abono.</t>
  </si>
  <si>
    <t>La transacción se revierte; no quedan datos parciales ni inconsistentes (propiedades ACID).</t>
  </si>
  <si>
    <t>DEF-018</t>
  </si>
  <si>
    <t>CP-21</t>
  </si>
  <si>
    <t>RF-06</t>
  </si>
  <si>
    <t>Trazabilidad del historial del pedido</t>
  </si>
  <si>
    <t>Crear un pedido, cambiar su estado y registrar dos abonos; consultar su historial.</t>
  </si>
  <si>
    <t>Se visualizan creación, cambios de estado y abonos en orden cronológico.</t>
  </si>
  <si>
    <t>DEF-019</t>
  </si>
  <si>
    <t>CP-22</t>
  </si>
  <si>
    <t>D. Comprobantes y notificaciones push</t>
  </si>
  <si>
    <t>RF-04 · HU-05</t>
  </si>
  <si>
    <t>Generación del comprobante</t>
  </si>
  <si>
    <t>Generar el comprobante de un pedido con abono.</t>
  </si>
  <si>
    <t>Incluye detalle, monto total, abonado y saldo, y queda asociado al pedido.</t>
  </si>
  <si>
    <t>DEF-020</t>
  </si>
  <si>
    <t>CP-23</t>
  </si>
  <si>
    <t>Envío del comprobante por WhatsApp</t>
  </si>
  <si>
    <t>Presionar enviar por WhatsApp en un pedido con teléfono +56 válido.</t>
  </si>
  <si>
    <t>Se abre WhatsApp con el comprobante dirigido al número del cliente.</t>
  </si>
  <si>
    <t>DEF-021</t>
  </si>
  <si>
    <t>CP-24</t>
  </si>
  <si>
    <t>RF-05 · HU-02</t>
  </si>
  <si>
    <t>Notificación push por pedido nuevo</t>
  </si>
  <si>
    <t>Con un dispositivo de producción con sesión activa, registrar un pedido desde otro dispositivo.</t>
  </si>
  <si>
    <t>Llega la notificación "Nuevo Pedido" con producto y fecha en menos de 1 minuto y el pedido figura en el panel de producción.</t>
  </si>
  <si>
    <t>DEF-022</t>
  </si>
  <si>
    <t>CP-25</t>
  </si>
  <si>
    <t>RF-05</t>
  </si>
  <si>
    <t>Notificación por actualización del pedido</t>
  </si>
  <si>
    <t>DEF-023</t>
  </si>
  <si>
    <t>Modificar un pedido existente.</t>
  </si>
  <si>
    <t>Producción recibe la notificación de actualización.</t>
  </si>
  <si>
    <t>DEF-024</t>
  </si>
  <si>
    <t>DEF-025</t>
  </si>
  <si>
    <t>DEF-026</t>
  </si>
  <si>
    <t>DEF-027</t>
  </si>
  <si>
    <t>CP-26</t>
  </si>
  <si>
    <t>Falla en el envío de la notificación</t>
  </si>
  <si>
    <t>Usar un usuario de producción con token FCM vacío o inválido.</t>
  </si>
  <si>
    <t>El pedido se registra igual; el error de FCM se controla y se registra sin afectar al usuario.</t>
  </si>
  <si>
    <t>DEF-028</t>
  </si>
  <si>
    <t>CP-27</t>
  </si>
  <si>
    <t>E. Catálogo, precios y calendario (administración)</t>
  </si>
  <si>
    <t>RF-11 · HU-07</t>
  </si>
  <si>
    <t>Creación de un producto</t>
  </si>
  <si>
    <t>En "Nuevo Producto": tipo Torta, código de barras, nombre, descripción, foto y al menos un tamaño con precio.</t>
  </si>
  <si>
    <t>El producto se crea y es visible en la app y en el catálogo web.</t>
  </si>
  <si>
    <t>DEF-029</t>
  </si>
  <si>
    <t>CP-28</t>
  </si>
  <si>
    <t>Edición y eliminación de un producto</t>
  </si>
  <si>
    <t>Editar nombre y precio de un producto y luego eliminarlo.</t>
  </si>
  <si>
    <t>Los cambios se reflejan en tiempo real y el producto eliminado desaparece de las listas.</t>
  </si>
  <si>
    <t>DEF-030</t>
  </si>
  <si>
    <t>CP-29</t>
  </si>
  <si>
    <t>RF-11</t>
  </si>
  <si>
    <t>Producto con datos inválidos</t>
  </si>
  <si>
    <t>Guardar sin nombre, con precio negativo o con código de barras duplicado.</t>
  </si>
  <si>
    <t>CP-30</t>
  </si>
  <si>
    <t>Edición masiva de precios</t>
  </si>
  <si>
    <t>En "Precios Masivos" cambiar varios valores y presionar Guardar Cambios.</t>
  </si>
  <si>
    <t>El PUT a /api/tortas/actualizar-precios persiste los valores y se mantienen al recargar.</t>
  </si>
  <si>
    <t>CP-31</t>
  </si>
  <si>
    <t>Precio no numérico en la edición masiva</t>
  </si>
  <si>
    <t>Escribir texto o dejar vacío un campo de precio y guardar.</t>
  </si>
  <si>
    <t>Se bloquea el guardado y se advierte al usuario (hoy un valor inválido se guarda como 0).</t>
  </si>
  <si>
    <t>CP-32</t>
  </si>
  <si>
    <t>Falla de red al guardar precios</t>
  </si>
  <si>
    <t>Cortar la conexión o detener el backend antes de guardar.</t>
  </si>
  <si>
    <t>Se muestra un mensaje de error visible y no se pierde lo digitado.</t>
  </si>
  <si>
    <t>CP-33</t>
  </si>
  <si>
    <t>Bloqueo, listado y eliminación de días</t>
  </si>
  <si>
    <t>En "Cupos y Días Bloqueados": bloquear una fecha con motivo, verificar el listado y eliminarla.</t>
  </si>
  <si>
    <t>POST, GET y DELETE de /api/dias-bloqueados funcionan y el listado se actualiza.</t>
  </si>
  <si>
    <t>CP-34</t>
  </si>
  <si>
    <t>Límite de cupos por día</t>
  </si>
  <si>
    <t>Semanas previstas</t>
  </si>
  <si>
    <t>Fecha de inicio</t>
  </si>
  <si>
    <t>Definir un límite (por ejemplo, 10) y registrar pedidos hasta superarlo.</t>
  </si>
  <si>
    <t>Fecha de término</t>
  </si>
  <si>
    <t>El sistema impide superar el límite configurado (hoy el campo no está conectado al backend).</t>
  </si>
  <si>
    <t>Responsables</t>
  </si>
  <si>
    <t>Ejecutados</t>
  </si>
  <si>
    <t>Aprobados</t>
  </si>
  <si>
    <t>CP-35</t>
  </si>
  <si>
    <t>F. Portal web e-commerce</t>
  </si>
  <si>
    <t>RF-08 · HU-09</t>
  </si>
  <si>
    <t>Carga del catálogo público</t>
  </si>
  <si>
    <t>Fallidos</t>
  </si>
  <si>
    <t>Abrir el portal sin sesión, en distintos horarios.</t>
  </si>
  <si>
    <t>Se muestran tarjetas con imagen, nombre y botón "Encargar / Personalizar" a cualquier hora.</t>
  </si>
  <si>
    <t>Bloqueados</t>
  </si>
  <si>
    <t>% aprobación</t>
  </si>
  <si>
    <t>Observaciones</t>
  </si>
  <si>
    <t>CP-36</t>
  </si>
  <si>
    <t>Pedido personalizado como invitado</t>
  </si>
  <si>
    <t>Presionar Encargar/Personalizar; elegir tamaño, cobertura, fecha y horario; ingresar nombre, teléfono y correo; confirmar y agendar.</t>
  </si>
  <si>
    <t>El total se calcula correctamente, el pedido llega a la base de datos central, aparece en la app y se notifica a producción.</t>
  </si>
  <si>
    <t>S14 – S15</t>
  </si>
  <si>
    <t>CP-37</t>
  </si>
  <si>
    <t>RF-08</t>
  </si>
  <si>
    <t>Validación del formulario de pedido web</t>
  </si>
  <si>
    <t>Dejar vacíos los campos obligatorios, usar un correo con formato inválido y una fecha pasada o bloqueada.</t>
  </si>
  <si>
    <t>Se impide el envío y se indican los errores.</t>
  </si>
  <si>
    <t>CP-38</t>
  </si>
  <si>
    <t>Error de conexión en el catálogo</t>
  </si>
  <si>
    <t>Detener el backend y cargar el portal.</t>
  </si>
  <si>
    <t>Se muestra un mensaje de error y no una pantalla vacía.</t>
  </si>
  <si>
    <t>CP-39</t>
  </si>
  <si>
    <t>G. Chatbot con inteligencia artificial</t>
  </si>
  <si>
    <t>RF-09 · HU-10</t>
  </si>
  <si>
    <t>Consulta frecuente</t>
  </si>
  <si>
    <t>Preguntar "¿Cómo puedo hacer un pedido personalizado?".</t>
  </si>
  <si>
    <t>Responde con los pasos correctos y ofrece las opciones de apoyo (subir imagen, describir el diseño, hablar con un agente humano).</t>
  </si>
  <si>
    <t>CP-40</t>
  </si>
  <si>
    <t>Recomendación basada en el catálogo</t>
  </si>
  <si>
    <t>Pedir una torta con fruta para 20 personas.</t>
  </si>
  <si>
    <t>Sugiere solo productos existentes con sus tamaños y precios vigentes.</t>
  </si>
  <si>
    <t>CP-41</t>
  </si>
  <si>
    <t>RF-09 · RNF-05</t>
  </si>
  <si>
    <t>Consultas fuera de dominio o maliciosas</t>
  </si>
  <si>
    <t>Preguntar temas ajenos al negocio y pedir instrucciones internas o datos de otros clientes.</t>
  </si>
  <si>
    <t>No revela información interna ni datos personales y redirige al ámbito de la pastelería o a un agente humano.</t>
  </si>
  <si>
    <t>CP-42</t>
  </si>
  <si>
    <t>RF-09</t>
  </si>
  <si>
    <t>Indisponibilidad del servicio de IA</t>
  </si>
  <si>
    <t>Simular una caída o un límite de uso del proveedor del modelo de lenguaje.</t>
  </si>
  <si>
    <t>El chat informa la situación y ofrece un contacto alternativo; el resto del portal sigue operativo.</t>
  </si>
  <si>
    <t>CP-43</t>
  </si>
  <si>
    <t>H. Reportes e historial de pagos</t>
  </si>
  <si>
    <t>RF-07 · RF-12 · HU-06</t>
  </si>
  <si>
    <t>Reporte de ventas y producción por rango de fechas</t>
  </si>
  <si>
    <t>Aplicar un rango de fechas en el panel de reportes.</t>
  </si>
  <si>
    <t>Las métricas coinciden con los pedidos del rango (contrastadas con una consulta SQL).</t>
  </si>
  <si>
    <t>CP-44</t>
  </si>
  <si>
    <t>RF-12 · HU-06</t>
  </si>
  <si>
    <t>Exportación de reportes</t>
  </si>
  <si>
    <t>Exportar el reporte del rango seleccionado.</t>
  </si>
  <si>
    <t>Se genera un archivo con los mismos datos mostrados.</t>
  </si>
  <si>
    <t>Baja</t>
  </si>
  <si>
    <t>CP-45</t>
  </si>
  <si>
    <t>RF-03 · RF-06</t>
  </si>
  <si>
    <t>Historial de pagos</t>
  </si>
  <si>
    <t>Abrir "Historial de Pagos" luego de registrar abonos.</t>
  </si>
  <si>
    <t>Lista los pagos con pedido, monto, fecha y método.</t>
  </si>
  <si>
    <t>CP-46</t>
  </si>
  <si>
    <t>I. Integración, despliegue y aceptación</t>
  </si>
  <si>
    <t>RF-01 · RF-02 · RF-04 · RF-05 · RF-08</t>
  </si>
  <si>
    <t>Flujo de punta a punta</t>
  </si>
  <si>
    <t>Crear un pedido desde la web; verificar la notificación y la agenda en la app; marcarlo Entregado y emitir el comprobante.</t>
  </si>
  <si>
    <t>Todos los componentes (web, backend, base de datos, FCM, app y comprobante) funcionan integrados sin intervención manual.</t>
  </si>
  <si>
    <t>CP-47</t>
  </si>
  <si>
    <t>RF-01 · RF-05 · RF-10</t>
  </si>
  <si>
    <t>Prueba de humo posterior al despliegue</t>
  </si>
  <si>
    <t>Tras cada despliegue en Railway, ejecutar un conjunto mínimo: inicio de sesión, crear pedido, recibir notificación y cargar catálogo web.</t>
  </si>
  <si>
    <t>Los cuatro escenarios críticos aprueban; de lo contrario se revierte el despliegue.</t>
  </si>
  <si>
    <t>CP-48</t>
  </si>
  <si>
    <t>Todos los RF Altos</t>
  </si>
  <si>
    <t>Validación de aceptación con Dulce Día</t>
  </si>
  <si>
    <t>Sesiones con la administración y el personal (Maipú y Cerrillos) sobre cinco escenarios reales de operación.</t>
  </si>
  <si>
    <t>El cliente valida los escenarios y se firma un acta de aceptación sin defectos críticos abiertos.</t>
  </si>
  <si>
    <t>Aceptación (UAT)</t>
  </si>
  <si>
    <t>CP-49</t>
  </si>
  <si>
    <t>J. Pruebas no funcionales</t>
  </si>
  <si>
    <t>Concurrencia</t>
  </si>
  <si>
    <t>Dos usuarios registran pedidos al mismo tiempo (dos dispositivos o un script).</t>
  </si>
  <si>
    <t>Ambos pedidos se almacenan con identificadores distintos, sin pérdida ni duplicación.</t>
  </si>
  <si>
    <t>CP-50</t>
  </si>
  <si>
    <t>RNF-04</t>
  </si>
  <si>
    <t>Usabilidad con usuarios reales</t>
  </si>
  <si>
    <t>Tres personas sin perfil técnico registran un pedido sin asistencia; se miden tiempo y errores.</t>
  </si>
  <si>
    <t>Completan la tarea en un tiempo razonable (meta propuesta: 3 minutos o menos) y califican la usabilidad con 4/5 o más en un cuestionario breve.</t>
  </si>
  <si>
    <t>S16</t>
  </si>
  <si>
    <t>CP-51</t>
  </si>
  <si>
    <t>RNF-06</t>
  </si>
  <si>
    <t>Compatibilidad</t>
  </si>
  <si>
    <t>Ejecutar la app en Android (dispositivo físico y emulador) e iOS si hay equipo disponible; el portal en Chrome, Edge, Firefox y móvil.</t>
  </si>
  <si>
    <t>Las funciones principales operan sin diferencias relevantes de diseño o comportamiento.</t>
  </si>
  <si>
    <t>CP-52</t>
  </si>
  <si>
    <t>RNF-02</t>
  </si>
  <si>
    <t>Disponibilidad y recuperación</t>
  </si>
  <si>
    <t>Monitorear el servicio durante la semana de validación y reiniciarlo en Railway.</t>
  </si>
  <si>
    <t>El sistema se recupera sin pérdida de datos y las interrupciones quedan registradas.</t>
  </si>
  <si>
    <t>CP-53</t>
  </si>
  <si>
    <t>Rendimiento básico</t>
  </si>
  <si>
    <t>Medir el tiempo de respuesta de la consulta del catálogo y de la creación de pedidos con 20 usuarios simultáneos simulados.</t>
  </si>
  <si>
    <t>Tiempo medio de respuesta menor a 2 segundos en las operaciones principales (meta propuesta).</t>
  </si>
  <si>
    <t>CP-54</t>
  </si>
  <si>
    <t>RNF-03 · RNF-08 · HU-11</t>
  </si>
  <si>
    <t>Preparación multitenant (revisión)</t>
  </si>
  <si>
    <t>Revisar el modelo de datos y la configuración; simular el alta de un segundo cliente de prueba.</t>
  </si>
  <si>
    <t>Separación lógica de datos y alta de un cliente sin modificar el código base, o brecha documentada.</t>
  </si>
  <si>
    <t>CP-55</t>
  </si>
  <si>
    <t>RNF-07</t>
  </si>
  <si>
    <t>Pruebas unitarias de la lógica de negocio</t>
  </si>
  <si>
    <t>Ejecutar la suite unitaria en cada sprint sobre pedidos, abonos y precios.</t>
  </si>
  <si>
    <t>Suite en verde y cobertura mínima propuesta de 60% en la lógica de negocio crítica.</t>
  </si>
  <si>
    <t>S16 – S17</t>
  </si>
  <si>
    <t>Los contadores se calculan solos a partir de la columna Ciclo de la hoja Casos. Se considera ejecutado un caso Aprobado o Fallido; un caso Bloqueado no se cuenta como ejecutado.</t>
  </si>
  <si>
    <t>Resumen de resultados de pruebas — Dulce Día</t>
  </si>
  <si>
    <t>Todos los valores se calculan automáticamente desde las hojas Casos y Defectos. No hay que escribir nada en esta hoja, salvo la celda B16 (acta de aceptación del cliente).</t>
  </si>
  <si>
    <t>Estado general de los casos</t>
  </si>
  <si>
    <t>Cantidad</t>
  </si>
  <si>
    <t>% del total</t>
  </si>
  <si>
    <t>Total de casos de prueba</t>
  </si>
  <si>
    <t>Casos ejecutados (aprobados + fallidos)</t>
  </si>
  <si>
    <t>Criterio de salida (sección 6 del Plan de Pruebas)</t>
  </si>
  <si>
    <t>Valor actual</t>
  </si>
  <si>
    <t>Meta</t>
  </si>
  <si>
    <t>Resultado</t>
  </si>
  <si>
    <t>Casos de prioridad alta ejecutados (meta: todos los de prioridad alta)</t>
  </si>
  <si>
    <t>Casos aprobados sobre el total</t>
  </si>
  <si>
    <t>Defectos críticos o altos abiertos</t>
  </si>
  <si>
    <t>Acta de aceptación del cliente firmada</t>
  </si>
  <si>
    <t>No</t>
  </si>
  <si>
    <t>Sí</t>
  </si>
  <si>
    <t>Cierre de pruebas</t>
  </si>
  <si>
    <t>La meta de 90% de aprobación y el criterio de aceptación son los propuestos en el Plan de Pruebas; ajústalos si el docente o el cliente definen otros.</t>
  </si>
  <si>
    <t>Defectos</t>
  </si>
  <si>
    <t>Defectos registrados</t>
  </si>
  <si>
    <t>Defectos abiertos (no cerrados)</t>
  </si>
  <si>
    <t>Defectos de severidad crítica</t>
  </si>
  <si>
    <t>Defectos de severidad alta</t>
  </si>
  <si>
    <t>Defectos de severidad media</t>
  </si>
  <si>
    <t>Defectos de severidad baja</t>
  </si>
  <si>
    <t>Resultados por módulo</t>
  </si>
  <si>
    <t>Total</t>
  </si>
  <si>
    <t>% aprobados</t>
  </si>
  <si>
    <t>Aporte individual en las pruebas</t>
  </si>
  <si>
    <t>Casos ejecutados</t>
  </si>
  <si>
    <t>Defectos asignados</t>
  </si>
  <si>
    <t>Sirve como evidencia de la participación de cada integrante; debe coincidir con los commits y evidencias del repositorio Git.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</si>
</sst>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sz val="10.0"/>
      <color rgb="FF0000FF"/>
      <name val="Arial"/>
    </font>
    <font>
      <i/>
      <sz val="9.0"/>
      <color rgb="FF59595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horizontal="center" readingOrder="0" shrinkToFit="0" vertical="top" wrapText="1"/>
    </xf>
    <xf borderId="1" fillId="3" fontId="5" numFmtId="164" xfId="0" applyAlignment="1" applyBorder="1" applyFill="1" applyFont="1" applyNumberFormat="1">
      <alignment horizontal="center" readingOrder="0" shrinkToFit="0" vertical="top" wrapText="1"/>
    </xf>
    <xf borderId="1" fillId="3" fontId="5" numFmtId="0" xfId="0" applyAlignment="1" applyBorder="1" applyFill="1" applyFont="1">
      <alignment horizontal="center" shrinkToFit="0" vertical="top" wrapText="1"/>
    </xf>
    <xf borderId="1" fillId="3" fontId="5" numFmtId="0" xfId="0" applyAlignment="1" applyBorder="1" applyFill="1" applyFont="1">
      <alignment readingOrder="0"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3" fontId="5" numFmtId="164" xfId="0" applyAlignment="1" applyBorder="1" applyFill="1" applyFont="1" applyNumberFormat="1">
      <alignment horizontal="center"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1" fillId="3" fontId="5" numFmtId="164" xfId="0" applyAlignment="1" applyBorder="1" applyFill="1" applyFont="1" applyNumberForma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1" fillId="0" fontId="3" numFmtId="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center" shrinkToFit="0" vertical="center" wrapText="1"/>
    </xf>
    <xf borderId="1" fillId="0" fontId="2" numFmtId="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EDEDED"/>
          <bgColor rgb="FFEDEDE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Estado de los casos por módulo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Aprobados</c:v>
          </c:tx>
          <c:spPr>
            <a:solidFill>
              <a:srgbClr val="70AD47"/>
            </a:solidFill>
            <a:ln cmpd="sng">
              <a:noFill/>
            </a:ln>
          </c:spPr>
          <c:invertIfNegative val="0"/>
          <c:cat>
            <c:strRef>
              <c:f>Resumen!$A$29:$A$38</c:f>
            </c:strRef>
          </c:cat>
          <c:val>
            <c:numRef>
              <c:f>Resumen!$C$29:$C$38</c:f>
              <c:numCache/>
            </c:numRef>
          </c:val>
        </c:ser>
        <c:ser>
          <c:idx val="1"/>
          <c:order val="1"/>
          <c:tx>
            <c:v>Fallidos</c:v>
          </c:tx>
          <c:spPr>
            <a:solidFill>
              <a:srgbClr val="C00000"/>
            </a:solidFill>
            <a:ln cmpd="sng">
              <a:noFill/>
            </a:ln>
          </c:spPr>
          <c:invertIfNegative val="0"/>
          <c:cat>
            <c:strRef>
              <c:f>Resumen!$A$29:$A$38</c:f>
            </c:strRef>
          </c:cat>
          <c:val>
            <c:numRef>
              <c:f>Resumen!$D$29:$D$38</c:f>
              <c:numCache/>
            </c:numRef>
          </c:val>
        </c:ser>
        <c:ser>
          <c:idx val="2"/>
          <c:order val="2"/>
          <c:tx>
            <c:v>Bloqueados</c:v>
          </c:tx>
          <c:spPr>
            <a:solidFill>
              <a:srgbClr val="FFC000"/>
            </a:solidFill>
            <a:ln cmpd="sng">
              <a:noFill/>
            </a:ln>
          </c:spPr>
          <c:invertIfNegative val="0"/>
          <c:cat>
            <c:strRef>
              <c:f>Resumen!$A$29:$A$38</c:f>
            </c:strRef>
          </c:cat>
          <c:val>
            <c:numRef>
              <c:f>Resumen!$E$29:$E$38</c:f>
              <c:numCache/>
            </c:numRef>
          </c:val>
        </c:ser>
        <c:ser>
          <c:idx val="3"/>
          <c:order val="3"/>
          <c:tx>
            <c:v>Por ejecutar</c:v>
          </c:tx>
          <c:spPr>
            <a:solidFill>
              <a:srgbClr val="A6A6A6"/>
            </a:solidFill>
            <a:ln cmpd="sng">
              <a:noFill/>
            </a:ln>
          </c:spPr>
          <c:invertIfNegative val="0"/>
          <c:cat>
            <c:strRef>
              <c:f>Resumen!$A$29:$A$38</c:f>
            </c:strRef>
          </c:cat>
          <c:val>
            <c:numRef>
              <c:f>Resumen!$F$29:$F$38</c:f>
              <c:numCache/>
            </c:numRef>
          </c:val>
        </c:ser>
        <c:overlap val="100"/>
        <c:axId val="75970644"/>
        <c:axId val="1752449397"/>
      </c:barChart>
      <c:catAx>
        <c:axId val="759706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2449397"/>
      </c:catAx>
      <c:valAx>
        <c:axId val="17524493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Casos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5970644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152400</xdr:rowOff>
    </xdr:from>
    <xdr:ext cx="5810250" cy="3486150"/>
    <xdr:graphicFrame>
      <xdr:nvGraphicFramePr>
        <xdr:cNvPr id="82054519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00.0"/>
    <col customWidth="1" min="3" max="26" width="8.71"/>
  </cols>
  <sheetData>
    <row r="1">
      <c r="A1" s="1" t="s">
        <v>0</v>
      </c>
    </row>
    <row r="3" ht="48.0" customHeight="1">
      <c r="A3" s="2" t="s">
        <v>1</v>
      </c>
      <c r="B3" s="3" t="s">
        <v>2</v>
      </c>
    </row>
    <row r="4" ht="48.0" customHeight="1">
      <c r="A4" s="2" t="s">
        <v>3</v>
      </c>
      <c r="B4" s="3" t="s">
        <v>4</v>
      </c>
    </row>
    <row r="5" ht="48.0" customHeight="1">
      <c r="A5" s="2" t="s">
        <v>5</v>
      </c>
      <c r="B5" s="3" t="s">
        <v>6</v>
      </c>
    </row>
    <row r="6" ht="48.0" customHeight="1">
      <c r="A6" s="2" t="s">
        <v>7</v>
      </c>
      <c r="B6" s="3" t="s">
        <v>8</v>
      </c>
    </row>
    <row r="7" ht="48.0" customHeight="1">
      <c r="A7" s="2" t="s">
        <v>9</v>
      </c>
      <c r="B7" s="3" t="s">
        <v>10</v>
      </c>
    </row>
    <row r="8" ht="31.5" customHeight="1">
      <c r="A8" s="2" t="s">
        <v>11</v>
      </c>
      <c r="B8" s="3" t="s">
        <v>12</v>
      </c>
    </row>
    <row r="10">
      <c r="A10" s="4" t="s">
        <v>14</v>
      </c>
    </row>
    <row r="11">
      <c r="A11" s="5" t="s">
        <v>15</v>
      </c>
      <c r="B11" s="5" t="s">
        <v>27</v>
      </c>
    </row>
    <row r="12">
      <c r="A12" s="7" t="s">
        <v>23</v>
      </c>
      <c r="B12" s="7" t="s">
        <v>39</v>
      </c>
    </row>
    <row r="13">
      <c r="A13" s="7" t="s">
        <v>24</v>
      </c>
      <c r="B13" s="7" t="s">
        <v>44</v>
      </c>
    </row>
    <row r="14">
      <c r="A14" s="7" t="s">
        <v>26</v>
      </c>
      <c r="B14" s="7" t="s">
        <v>49</v>
      </c>
    </row>
    <row r="15">
      <c r="A15" s="7" t="s">
        <v>28</v>
      </c>
      <c r="B15" s="7" t="s">
        <v>51</v>
      </c>
    </row>
    <row r="16">
      <c r="A16" s="7" t="s">
        <v>30</v>
      </c>
      <c r="B16" s="7" t="s">
        <v>52</v>
      </c>
    </row>
    <row r="17">
      <c r="A17" s="7" t="s">
        <v>33</v>
      </c>
      <c r="B17" s="7" t="s">
        <v>53</v>
      </c>
    </row>
    <row r="18">
      <c r="A18" s="7" t="s">
        <v>34</v>
      </c>
      <c r="B18" s="7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7" width="15.0"/>
    <col customWidth="1" min="8" max="26" width="8.71"/>
  </cols>
  <sheetData>
    <row r="1">
      <c r="A1" s="1" t="s">
        <v>362</v>
      </c>
    </row>
    <row r="2">
      <c r="A2" s="19" t="s">
        <v>363</v>
      </c>
    </row>
    <row r="4">
      <c r="A4" s="5" t="s">
        <v>364</v>
      </c>
      <c r="B4" s="5" t="s">
        <v>365</v>
      </c>
      <c r="C4" s="5" t="s">
        <v>366</v>
      </c>
    </row>
    <row r="5">
      <c r="A5" s="20" t="s">
        <v>367</v>
      </c>
      <c r="B5" s="21">
        <f>COUNTA(Casos!$A$2:$A$56)</f>
        <v>55</v>
      </c>
      <c r="C5" s="18">
        <f t="shared" ref="C5:C10" si="1">IF($B$5=0,0,B5/$B$5)</f>
        <v>1</v>
      </c>
    </row>
    <row r="6">
      <c r="A6" s="22" t="s">
        <v>55</v>
      </c>
      <c r="B6" s="23">
        <f>COUNTIF(Casos!$I$2:$I$56,"Por ejecutar")</f>
        <v>55</v>
      </c>
      <c r="C6" s="18">
        <f t="shared" si="1"/>
        <v>1</v>
      </c>
    </row>
    <row r="7">
      <c r="A7" s="22" t="s">
        <v>246</v>
      </c>
      <c r="B7" s="23">
        <f>COUNTIF(Casos!$I$2:$I$56,"Aprobado")</f>
        <v>0</v>
      </c>
      <c r="C7" s="18">
        <f t="shared" si="1"/>
        <v>0</v>
      </c>
    </row>
    <row r="8">
      <c r="A8" s="22" t="s">
        <v>251</v>
      </c>
      <c r="B8" s="23">
        <f>COUNTIF(Casos!$I$2:$I$56,"Fallido")</f>
        <v>0</v>
      </c>
      <c r="C8" s="18">
        <f t="shared" si="1"/>
        <v>0</v>
      </c>
    </row>
    <row r="9">
      <c r="A9" s="22" t="s">
        <v>254</v>
      </c>
      <c r="B9" s="23">
        <f>COUNTIF(Casos!$I$2:$I$56,"Bloqueado")</f>
        <v>0</v>
      </c>
      <c r="C9" s="18">
        <f t="shared" si="1"/>
        <v>0</v>
      </c>
    </row>
    <row r="10">
      <c r="A10" s="20" t="s">
        <v>368</v>
      </c>
      <c r="B10" s="21">
        <f>B7+B8</f>
        <v>0</v>
      </c>
      <c r="C10" s="24">
        <f t="shared" si="1"/>
        <v>0</v>
      </c>
    </row>
    <row r="12">
      <c r="A12" s="5" t="s">
        <v>369</v>
      </c>
      <c r="B12" s="5" t="s">
        <v>370</v>
      </c>
      <c r="C12" s="5" t="s">
        <v>371</v>
      </c>
      <c r="D12" s="5" t="s">
        <v>372</v>
      </c>
    </row>
    <row r="13">
      <c r="A13" s="22" t="s">
        <v>373</v>
      </c>
      <c r="B13" s="23">
        <f>COUNTIFS(Casos!$G$2:$G$56,"Alta",Casos!$I$2:$I$56,"Aprobado")+COUNTIFS(Casos!$G$2:$G$56,"Alta",Casos!$I$2:$I$56,"Fallido")</f>
        <v>0</v>
      </c>
      <c r="C13" s="23">
        <f>COUNTIF(Casos!$G$2:$G$56,"Alta")</f>
        <v>32</v>
      </c>
      <c r="D13" s="25" t="str">
        <f>IF(B13=C13,"CUMPLE","NO CUMPLE")</f>
        <v>NO CUMPLE</v>
      </c>
    </row>
    <row r="14">
      <c r="A14" s="22" t="s">
        <v>374</v>
      </c>
      <c r="B14" s="18">
        <f>C7</f>
        <v>0</v>
      </c>
      <c r="C14" s="18">
        <v>0.9</v>
      </c>
      <c r="D14" s="25" t="str">
        <f>IF(B14&gt;=C14,"CUMPLE","NO CUMPLE")</f>
        <v>NO CUMPLE</v>
      </c>
    </row>
    <row r="15">
      <c r="A15" s="22" t="s">
        <v>375</v>
      </c>
      <c r="B15" s="23">
        <f>COUNTIFS(Defectos!$F$2:$F$31,"Crítica",Defectos!$G$2:$G$31,"&lt;&gt;Cerrado")+COUNTIFS(Defectos!$F$2:$F$31,"Alta",Defectos!$G$2:$G$31,"&lt;&gt;Cerrado")</f>
        <v>0</v>
      </c>
      <c r="C15" s="23">
        <v>0.0</v>
      </c>
      <c r="D15" s="25" t="str">
        <f>IF(B15&lt;=C15,"CUMPLE","NO CUMPLE")</f>
        <v>CUMPLE</v>
      </c>
    </row>
    <row r="16">
      <c r="A16" s="22" t="s">
        <v>376</v>
      </c>
      <c r="B16" s="26" t="s">
        <v>377</v>
      </c>
      <c r="C16" s="15" t="s">
        <v>378</v>
      </c>
      <c r="D16" s="25" t="str">
        <f>IF(B16="Sí","CUMPLE","NO CUMPLE")</f>
        <v>NO CUMPLE</v>
      </c>
    </row>
    <row r="17">
      <c r="A17" s="20" t="s">
        <v>379</v>
      </c>
      <c r="B17" s="15"/>
      <c r="C17" s="15"/>
      <c r="D17" s="25" t="str">
        <f>IF(AND(D13="CUMPLE",D14="CUMPLE",D15="CUMPLE",D16="CUMPLE"),"CUMPLE","NO CUMPLE")</f>
        <v>NO CUMPLE</v>
      </c>
    </row>
    <row r="18">
      <c r="A18" s="19" t="s">
        <v>380</v>
      </c>
    </row>
    <row r="20">
      <c r="A20" s="5" t="s">
        <v>381</v>
      </c>
      <c r="B20" s="5" t="s">
        <v>365</v>
      </c>
    </row>
    <row r="21" ht="15.75" customHeight="1">
      <c r="A21" s="22" t="s">
        <v>382</v>
      </c>
      <c r="B21" s="23">
        <f>COUNTA(Defectos!$C$2:$C$31)</f>
        <v>0</v>
      </c>
    </row>
    <row r="22" ht="15.75" customHeight="1">
      <c r="A22" s="22" t="s">
        <v>383</v>
      </c>
      <c r="B22" s="23">
        <f>COUNTIFS(Defectos!$C$2:$C$31,"&lt;&gt;",Defectos!$G$2:$G$31,"&lt;&gt;Cerrado")</f>
        <v>0</v>
      </c>
    </row>
    <row r="23" ht="15.75" customHeight="1">
      <c r="A23" s="22" t="s">
        <v>384</v>
      </c>
      <c r="B23" s="23">
        <f>COUNTIF(Defectos!$F$2:$F$31,"Crítica")</f>
        <v>0</v>
      </c>
    </row>
    <row r="24" ht="15.75" customHeight="1">
      <c r="A24" s="22" t="s">
        <v>385</v>
      </c>
      <c r="B24" s="23">
        <f>COUNTIF(Defectos!$F$2:$F$31,"Alta")</f>
        <v>0</v>
      </c>
    </row>
    <row r="25" ht="15.75" customHeight="1">
      <c r="A25" s="22" t="s">
        <v>386</v>
      </c>
      <c r="B25" s="23">
        <f>COUNTIF(Defectos!$F$2:$F$31,"Media")</f>
        <v>0</v>
      </c>
    </row>
    <row r="26" ht="15.75" customHeight="1">
      <c r="A26" s="22" t="s">
        <v>387</v>
      </c>
      <c r="B26" s="23">
        <f>COUNTIF(Defectos!$F$2:$F$31,"Baja")</f>
        <v>0</v>
      </c>
    </row>
    <row r="27" ht="15.75" customHeight="1"/>
    <row r="28" ht="15.75" customHeight="1">
      <c r="A28" s="5" t="s">
        <v>388</v>
      </c>
      <c r="B28" s="5" t="s">
        <v>389</v>
      </c>
      <c r="C28" s="5" t="s">
        <v>246</v>
      </c>
      <c r="D28" s="5" t="s">
        <v>251</v>
      </c>
      <c r="E28" s="5" t="s">
        <v>254</v>
      </c>
      <c r="F28" s="5" t="s">
        <v>55</v>
      </c>
      <c r="G28" s="5" t="s">
        <v>390</v>
      </c>
    </row>
    <row r="29" ht="15.75" customHeight="1">
      <c r="A29" s="22" t="s">
        <v>40</v>
      </c>
      <c r="B29" s="23">
        <f>COUNTIF(Casos!$B$2:$B$56,$A29)</f>
        <v>5</v>
      </c>
      <c r="C29" s="23">
        <f>COUNTIFS(Casos!$B$2:$B$56,$A29,Casos!$I$2:$I$56,"Aprobado")</f>
        <v>0</v>
      </c>
      <c r="D29" s="23">
        <f>COUNTIFS(Casos!$B$2:$B$56,$A29,Casos!$I$2:$I$56,"Fallido")</f>
        <v>0</v>
      </c>
      <c r="E29" s="23">
        <f>COUNTIFS(Casos!$B$2:$B$56,$A29,Casos!$I$2:$I$56,"Bloqueado")</f>
        <v>0</v>
      </c>
      <c r="F29" s="23">
        <f>COUNTIFS(Casos!$B$2:$B$56,$A29,Casos!$I$2:$I$56,"Por ejecutar")</f>
        <v>5</v>
      </c>
      <c r="G29" s="18">
        <f t="shared" ref="G29:G39" si="2">IF(B29=0,0,C29/B29)</f>
        <v>0</v>
      </c>
    </row>
    <row r="30" ht="15.75" customHeight="1">
      <c r="A30" s="22" t="s">
        <v>80</v>
      </c>
      <c r="B30" s="23">
        <f>COUNTIF(Casos!$B$2:$B$56,$A30)</f>
        <v>8</v>
      </c>
      <c r="C30" s="23">
        <f>COUNTIFS(Casos!$B$2:$B$56,$A30,Casos!$I$2:$I$56,"Aprobado")</f>
        <v>0</v>
      </c>
      <c r="D30" s="23">
        <f>COUNTIFS(Casos!$B$2:$B$56,$A30,Casos!$I$2:$I$56,"Fallido")</f>
        <v>0</v>
      </c>
      <c r="E30" s="23">
        <f>COUNTIFS(Casos!$B$2:$B$56,$A30,Casos!$I$2:$I$56,"Bloqueado")</f>
        <v>0</v>
      </c>
      <c r="F30" s="23">
        <f>COUNTIFS(Casos!$B$2:$B$56,$A30,Casos!$I$2:$I$56,"Por ejecutar")</f>
        <v>8</v>
      </c>
      <c r="G30" s="18">
        <f t="shared" si="2"/>
        <v>0</v>
      </c>
    </row>
    <row r="31" ht="15.75" customHeight="1">
      <c r="A31" s="22" t="s">
        <v>127</v>
      </c>
      <c r="B31" s="23">
        <f>COUNTIF(Casos!$B$2:$B$56,$A31)</f>
        <v>8</v>
      </c>
      <c r="C31" s="23">
        <f>COUNTIFS(Casos!$B$2:$B$56,$A31,Casos!$I$2:$I$56,"Aprobado")</f>
        <v>0</v>
      </c>
      <c r="D31" s="23">
        <f>COUNTIFS(Casos!$B$2:$B$56,$A31,Casos!$I$2:$I$56,"Fallido")</f>
        <v>0</v>
      </c>
      <c r="E31" s="23">
        <f>COUNTIFS(Casos!$B$2:$B$56,$A31,Casos!$I$2:$I$56,"Bloqueado")</f>
        <v>0</v>
      </c>
      <c r="F31" s="23">
        <f>COUNTIFS(Casos!$B$2:$B$56,$A31,Casos!$I$2:$I$56,"Por ejecutar")</f>
        <v>8</v>
      </c>
      <c r="G31" s="18">
        <f t="shared" si="2"/>
        <v>0</v>
      </c>
    </row>
    <row r="32" ht="15.75" customHeight="1">
      <c r="A32" s="22" t="s">
        <v>173</v>
      </c>
      <c r="B32" s="23">
        <f>COUNTIF(Casos!$B$2:$B$56,$A32)</f>
        <v>5</v>
      </c>
      <c r="C32" s="23">
        <f>COUNTIFS(Casos!$B$2:$B$56,$A32,Casos!$I$2:$I$56,"Aprobado")</f>
        <v>0</v>
      </c>
      <c r="D32" s="23">
        <f>COUNTIFS(Casos!$B$2:$B$56,$A32,Casos!$I$2:$I$56,"Fallido")</f>
        <v>0</v>
      </c>
      <c r="E32" s="23">
        <f>COUNTIFS(Casos!$B$2:$B$56,$A32,Casos!$I$2:$I$56,"Bloqueado")</f>
        <v>0</v>
      </c>
      <c r="F32" s="23">
        <f>COUNTIFS(Casos!$B$2:$B$56,$A32,Casos!$I$2:$I$56,"Por ejecutar")</f>
        <v>5</v>
      </c>
      <c r="G32" s="18">
        <f t="shared" si="2"/>
        <v>0</v>
      </c>
    </row>
    <row r="33" ht="15.75" customHeight="1">
      <c r="A33" s="22" t="s">
        <v>206</v>
      </c>
      <c r="B33" s="23">
        <f>COUNTIF(Casos!$B$2:$B$56,$A33)</f>
        <v>8</v>
      </c>
      <c r="C33" s="23">
        <f>COUNTIFS(Casos!$B$2:$B$56,$A33,Casos!$I$2:$I$56,"Aprobado")</f>
        <v>0</v>
      </c>
      <c r="D33" s="23">
        <f>COUNTIFS(Casos!$B$2:$B$56,$A33,Casos!$I$2:$I$56,"Fallido")</f>
        <v>0</v>
      </c>
      <c r="E33" s="23">
        <f>COUNTIFS(Casos!$B$2:$B$56,$A33,Casos!$I$2:$I$56,"Bloqueado")</f>
        <v>0</v>
      </c>
      <c r="F33" s="23">
        <f>COUNTIFS(Casos!$B$2:$B$56,$A33,Casos!$I$2:$I$56,"Por ejecutar")</f>
        <v>8</v>
      </c>
      <c r="G33" s="18">
        <f t="shared" si="2"/>
        <v>0</v>
      </c>
    </row>
    <row r="34" ht="15.75" customHeight="1">
      <c r="A34" s="22" t="s">
        <v>248</v>
      </c>
      <c r="B34" s="23">
        <f>COUNTIF(Casos!$B$2:$B$56,$A34)</f>
        <v>4</v>
      </c>
      <c r="C34" s="23">
        <f>COUNTIFS(Casos!$B$2:$B$56,$A34,Casos!$I$2:$I$56,"Aprobado")</f>
        <v>0</v>
      </c>
      <c r="D34" s="23">
        <f>COUNTIFS(Casos!$B$2:$B$56,$A34,Casos!$I$2:$I$56,"Fallido")</f>
        <v>0</v>
      </c>
      <c r="E34" s="23">
        <f>COUNTIFS(Casos!$B$2:$B$56,$A34,Casos!$I$2:$I$56,"Bloqueado")</f>
        <v>0</v>
      </c>
      <c r="F34" s="23">
        <f>COUNTIFS(Casos!$B$2:$B$56,$A34,Casos!$I$2:$I$56,"Por ejecutar")</f>
        <v>4</v>
      </c>
      <c r="G34" s="18">
        <f t="shared" si="2"/>
        <v>0</v>
      </c>
    </row>
    <row r="35" ht="15.75" customHeight="1">
      <c r="A35" s="22" t="s">
        <v>272</v>
      </c>
      <c r="B35" s="23">
        <f>COUNTIF(Casos!$B$2:$B$56,$A35)</f>
        <v>4</v>
      </c>
      <c r="C35" s="23">
        <f>COUNTIFS(Casos!$B$2:$B$56,$A35,Casos!$I$2:$I$56,"Aprobado")</f>
        <v>0</v>
      </c>
      <c r="D35" s="23">
        <f>COUNTIFS(Casos!$B$2:$B$56,$A35,Casos!$I$2:$I$56,"Fallido")</f>
        <v>0</v>
      </c>
      <c r="E35" s="23">
        <f>COUNTIFS(Casos!$B$2:$B$56,$A35,Casos!$I$2:$I$56,"Bloqueado")</f>
        <v>0</v>
      </c>
      <c r="F35" s="23">
        <f>COUNTIFS(Casos!$B$2:$B$56,$A35,Casos!$I$2:$I$56,"Por ejecutar")</f>
        <v>4</v>
      </c>
      <c r="G35" s="18">
        <f t="shared" si="2"/>
        <v>0</v>
      </c>
    </row>
    <row r="36" ht="15.75" customHeight="1">
      <c r="A36" s="22" t="s">
        <v>292</v>
      </c>
      <c r="B36" s="23">
        <f>COUNTIF(Casos!$B$2:$B$56,$A36)</f>
        <v>3</v>
      </c>
      <c r="C36" s="23">
        <f>COUNTIFS(Casos!$B$2:$B$56,$A36,Casos!$I$2:$I$56,"Aprobado")</f>
        <v>0</v>
      </c>
      <c r="D36" s="23">
        <f>COUNTIFS(Casos!$B$2:$B$56,$A36,Casos!$I$2:$I$56,"Fallido")</f>
        <v>0</v>
      </c>
      <c r="E36" s="23">
        <f>COUNTIFS(Casos!$B$2:$B$56,$A36,Casos!$I$2:$I$56,"Bloqueado")</f>
        <v>0</v>
      </c>
      <c r="F36" s="23">
        <f>COUNTIFS(Casos!$B$2:$B$56,$A36,Casos!$I$2:$I$56,"Por ejecutar")</f>
        <v>3</v>
      </c>
      <c r="G36" s="18">
        <f t="shared" si="2"/>
        <v>0</v>
      </c>
    </row>
    <row r="37" ht="15.75" customHeight="1">
      <c r="A37" s="22" t="s">
        <v>309</v>
      </c>
      <c r="B37" s="23">
        <f>COUNTIF(Casos!$B$2:$B$56,$A37)</f>
        <v>3</v>
      </c>
      <c r="C37" s="23">
        <f>COUNTIFS(Casos!$B$2:$B$56,$A37,Casos!$I$2:$I$56,"Aprobado")</f>
        <v>0</v>
      </c>
      <c r="D37" s="23">
        <f>COUNTIFS(Casos!$B$2:$B$56,$A37,Casos!$I$2:$I$56,"Fallido")</f>
        <v>0</v>
      </c>
      <c r="E37" s="23">
        <f>COUNTIFS(Casos!$B$2:$B$56,$A37,Casos!$I$2:$I$56,"Bloqueado")</f>
        <v>0</v>
      </c>
      <c r="F37" s="23">
        <f>COUNTIFS(Casos!$B$2:$B$56,$A37,Casos!$I$2:$I$56,"Por ejecutar")</f>
        <v>3</v>
      </c>
      <c r="G37" s="18">
        <f t="shared" si="2"/>
        <v>0</v>
      </c>
    </row>
    <row r="38" ht="15.75" customHeight="1">
      <c r="A38" s="22" t="s">
        <v>326</v>
      </c>
      <c r="B38" s="23">
        <f>COUNTIF(Casos!$B$2:$B$56,$A38)</f>
        <v>7</v>
      </c>
      <c r="C38" s="23">
        <f>COUNTIFS(Casos!$B$2:$B$56,$A38,Casos!$I$2:$I$56,"Aprobado")</f>
        <v>0</v>
      </c>
      <c r="D38" s="23">
        <f>COUNTIFS(Casos!$B$2:$B$56,$A38,Casos!$I$2:$I$56,"Fallido")</f>
        <v>0</v>
      </c>
      <c r="E38" s="23">
        <f>COUNTIFS(Casos!$B$2:$B$56,$A38,Casos!$I$2:$I$56,"Bloqueado")</f>
        <v>0</v>
      </c>
      <c r="F38" s="23">
        <f>COUNTIFS(Casos!$B$2:$B$56,$A38,Casos!$I$2:$I$56,"Por ejecutar")</f>
        <v>7</v>
      </c>
      <c r="G38" s="18">
        <f t="shared" si="2"/>
        <v>0</v>
      </c>
    </row>
    <row r="39" ht="15.75" customHeight="1">
      <c r="A39" s="20" t="s">
        <v>389</v>
      </c>
      <c r="B39" s="21">
        <f t="shared" ref="B39:F39" si="3">SUM(B29:B38)</f>
        <v>55</v>
      </c>
      <c r="C39" s="21">
        <f t="shared" si="3"/>
        <v>0</v>
      </c>
      <c r="D39" s="21">
        <f t="shared" si="3"/>
        <v>0</v>
      </c>
      <c r="E39" s="21">
        <f t="shared" si="3"/>
        <v>0</v>
      </c>
      <c r="F39" s="21">
        <f t="shared" si="3"/>
        <v>55</v>
      </c>
      <c r="G39" s="24">
        <f t="shared" si="2"/>
        <v>0</v>
      </c>
    </row>
    <row r="40" ht="15.75" customHeight="1"/>
    <row r="41" ht="15.75" customHeight="1">
      <c r="A41" s="5" t="s">
        <v>391</v>
      </c>
      <c r="B41" s="5" t="s">
        <v>392</v>
      </c>
      <c r="C41" s="5" t="s">
        <v>246</v>
      </c>
      <c r="D41" s="5" t="s">
        <v>251</v>
      </c>
      <c r="E41" s="5" t="s">
        <v>393</v>
      </c>
    </row>
    <row r="42" ht="15.75" customHeight="1">
      <c r="A42" s="22" t="s">
        <v>56</v>
      </c>
      <c r="B42" s="23">
        <f t="shared" ref="B42:B44" si="4">C42+D42</f>
        <v>0</v>
      </c>
      <c r="C42" s="23">
        <f>COUNTIFS(Casos!$K$2:$K$56,$A42,Casos!$I$2:$I$56,"Aprobado")</f>
        <v>0</v>
      </c>
      <c r="D42" s="23">
        <f>COUNTIFS(Casos!$K$2:$K$56,$A42,Casos!$I$2:$I$56,"Fallido")</f>
        <v>0</v>
      </c>
      <c r="E42" s="23">
        <f>COUNTIFS(Defectos!$H$2:$H$31,$A42,Defectos!$C$2:$C$31,"&lt;&gt;")</f>
        <v>0</v>
      </c>
    </row>
    <row r="43" ht="15.75" customHeight="1">
      <c r="A43" s="22" t="s">
        <v>51</v>
      </c>
      <c r="B43" s="23">
        <f t="shared" si="4"/>
        <v>0</v>
      </c>
      <c r="C43" s="23">
        <f>COUNTIFS(Casos!$K$2:$K$56,$A43,Casos!$I$2:$I$56,"Aprobado")</f>
        <v>0</v>
      </c>
      <c r="D43" s="23">
        <f>COUNTIFS(Casos!$K$2:$K$56,$A43,Casos!$I$2:$I$56,"Fallido")</f>
        <v>0</v>
      </c>
      <c r="E43" s="23">
        <f>COUNTIFS(Defectos!$H$2:$H$31,$A43,Defectos!$C$2:$C$31,"&lt;&gt;")</f>
        <v>0</v>
      </c>
    </row>
    <row r="44" ht="15.75" customHeight="1">
      <c r="A44" s="22" t="s">
        <v>78</v>
      </c>
      <c r="B44" s="23">
        <f t="shared" si="4"/>
        <v>0</v>
      </c>
      <c r="C44" s="23">
        <f>COUNTIFS(Casos!$K$2:$K$56,$A44,Casos!$I$2:$I$56,"Aprobado")</f>
        <v>0</v>
      </c>
      <c r="D44" s="23">
        <f>COUNTIFS(Casos!$K$2:$K$56,$A44,Casos!$I$2:$I$56,"Fallido")</f>
        <v>0</v>
      </c>
      <c r="E44" s="23">
        <f>COUNTIFS(Defectos!$H$2:$H$31,$A44,Defectos!$C$2:$C$31,"&lt;&gt;")</f>
        <v>0</v>
      </c>
    </row>
    <row r="45" ht="15.75" customHeight="1">
      <c r="A45" s="19" t="s">
        <v>394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3">
    <cfRule type="cellIs" dxfId="0" priority="1" operator="equal">
      <formula>"CUMPLE"</formula>
    </cfRule>
  </conditionalFormatting>
  <conditionalFormatting sqref="D13">
    <cfRule type="cellIs" dxfId="1" priority="2" operator="equal">
      <formula>"NO CUMPLE"</formula>
    </cfRule>
  </conditionalFormatting>
  <conditionalFormatting sqref="D14">
    <cfRule type="cellIs" dxfId="0" priority="3" operator="equal">
      <formula>"CUMPLE"</formula>
    </cfRule>
  </conditionalFormatting>
  <conditionalFormatting sqref="D14">
    <cfRule type="cellIs" dxfId="1" priority="4" operator="equal">
      <formula>"NO CUMPLE"</formula>
    </cfRule>
  </conditionalFormatting>
  <conditionalFormatting sqref="D15">
    <cfRule type="cellIs" dxfId="0" priority="5" operator="equal">
      <formula>"CUMPLE"</formula>
    </cfRule>
  </conditionalFormatting>
  <conditionalFormatting sqref="D15">
    <cfRule type="cellIs" dxfId="1" priority="6" operator="equal">
      <formula>"NO CUMPLE"</formula>
    </cfRule>
  </conditionalFormatting>
  <conditionalFormatting sqref="D16">
    <cfRule type="cellIs" dxfId="0" priority="7" operator="equal">
      <formula>"CUMPLE"</formula>
    </cfRule>
  </conditionalFormatting>
  <conditionalFormatting sqref="D16">
    <cfRule type="cellIs" dxfId="1" priority="8" operator="equal">
      <formula>"NO CUMPLE"</formula>
    </cfRule>
  </conditionalFormatting>
  <conditionalFormatting sqref="D17">
    <cfRule type="cellIs" dxfId="0" priority="9" operator="equal">
      <formula>"CUMPLE"</formula>
    </cfRule>
  </conditionalFormatting>
  <conditionalFormatting sqref="D17">
    <cfRule type="cellIs" dxfId="1" priority="10" operator="equal">
      <formula>"NO CUMPLE"</formula>
    </cfRule>
  </conditionalFormatting>
  <dataValidations>
    <dataValidation type="list" allowBlank="1" sqref="B16">
      <formula1>"Sí,No"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6.0"/>
    <col customWidth="1" min="4" max="4" width="30.0"/>
    <col customWidth="1" min="5" max="6" width="46.0"/>
    <col customWidth="1" min="7" max="7" width="10.0"/>
    <col customWidth="1" min="8" max="8" width="18.0"/>
    <col customWidth="1" min="9" max="10" width="14.0"/>
    <col customWidth="1" min="11" max="11" width="18.0"/>
    <col customWidth="1" min="12" max="12" width="40.0"/>
    <col customWidth="1" min="13" max="13" width="34.0"/>
    <col customWidth="1" min="14" max="14" width="14.0"/>
    <col customWidth="1" min="15" max="26" width="8.71"/>
  </cols>
  <sheetData>
    <row r="1" ht="31.5" customHeight="1">
      <c r="A1" s="5" t="s">
        <v>13</v>
      </c>
      <c r="B1" s="5" t="s">
        <v>16</v>
      </c>
      <c r="C1" s="5" t="s">
        <v>17</v>
      </c>
      <c r="D1" s="5" t="s">
        <v>18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26</v>
      </c>
      <c r="K1" s="5" t="s">
        <v>28</v>
      </c>
      <c r="L1" s="5" t="s">
        <v>30</v>
      </c>
      <c r="M1" s="5" t="s">
        <v>33</v>
      </c>
      <c r="N1" s="5" t="s">
        <v>34</v>
      </c>
    </row>
    <row r="2" ht="61.5" customHeight="1">
      <c r="A2" s="6" t="s">
        <v>36</v>
      </c>
      <c r="B2" s="8" t="s">
        <v>40</v>
      </c>
      <c r="C2" s="8" t="s">
        <v>43</v>
      </c>
      <c r="D2" s="8" t="s">
        <v>45</v>
      </c>
      <c r="E2" s="8" t="s">
        <v>46</v>
      </c>
      <c r="F2" s="8" t="s">
        <v>47</v>
      </c>
      <c r="G2" s="6" t="s">
        <v>48</v>
      </c>
      <c r="H2" s="9" t="s">
        <v>39</v>
      </c>
      <c r="I2" s="9" t="s">
        <v>55</v>
      </c>
      <c r="J2" s="10">
        <v>46328.0</v>
      </c>
      <c r="K2" s="9" t="s">
        <v>56</v>
      </c>
      <c r="L2" s="12"/>
      <c r="M2" s="13"/>
      <c r="N2" s="13"/>
    </row>
    <row r="3" ht="61.5" customHeight="1">
      <c r="A3" s="6" t="s">
        <v>57</v>
      </c>
      <c r="B3" s="8" t="s">
        <v>40</v>
      </c>
      <c r="C3" s="8" t="s">
        <v>43</v>
      </c>
      <c r="D3" s="8" t="s">
        <v>58</v>
      </c>
      <c r="E3" s="8" t="s">
        <v>59</v>
      </c>
      <c r="F3" s="8" t="s">
        <v>60</v>
      </c>
      <c r="G3" s="6" t="s">
        <v>48</v>
      </c>
      <c r="H3" s="9" t="s">
        <v>39</v>
      </c>
      <c r="I3" s="9" t="s">
        <v>55</v>
      </c>
      <c r="J3" s="10">
        <v>46328.0</v>
      </c>
      <c r="K3" s="9" t="s">
        <v>56</v>
      </c>
      <c r="L3" s="12"/>
      <c r="M3" s="13"/>
      <c r="N3" s="13"/>
    </row>
    <row r="4" ht="61.5" customHeight="1">
      <c r="A4" s="6" t="s">
        <v>61</v>
      </c>
      <c r="B4" s="8" t="s">
        <v>40</v>
      </c>
      <c r="C4" s="8" t="s">
        <v>63</v>
      </c>
      <c r="D4" s="8" t="s">
        <v>64</v>
      </c>
      <c r="E4" s="8" t="s">
        <v>65</v>
      </c>
      <c r="F4" s="8" t="s">
        <v>66</v>
      </c>
      <c r="G4" s="6" t="s">
        <v>48</v>
      </c>
      <c r="H4" s="9" t="s">
        <v>39</v>
      </c>
      <c r="I4" s="9" t="s">
        <v>55</v>
      </c>
      <c r="J4" s="10">
        <v>46329.0</v>
      </c>
      <c r="K4" s="9" t="s">
        <v>56</v>
      </c>
      <c r="L4" s="12"/>
      <c r="M4" s="13"/>
      <c r="N4" s="13"/>
    </row>
    <row r="5" ht="61.5" customHeight="1">
      <c r="A5" s="6" t="s">
        <v>67</v>
      </c>
      <c r="B5" s="8" t="s">
        <v>40</v>
      </c>
      <c r="C5" s="8" t="s">
        <v>68</v>
      </c>
      <c r="D5" s="8" t="s">
        <v>69</v>
      </c>
      <c r="E5" s="8" t="s">
        <v>70</v>
      </c>
      <c r="F5" s="8" t="s">
        <v>72</v>
      </c>
      <c r="G5" s="6" t="s">
        <v>48</v>
      </c>
      <c r="H5" s="9" t="s">
        <v>39</v>
      </c>
      <c r="I5" s="9" t="s">
        <v>55</v>
      </c>
      <c r="J5" s="10">
        <v>46329.0</v>
      </c>
      <c r="K5" s="9" t="s">
        <v>56</v>
      </c>
      <c r="L5" s="12"/>
      <c r="M5" s="13"/>
      <c r="N5" s="13"/>
    </row>
    <row r="6" ht="61.5" customHeight="1">
      <c r="A6" s="6" t="s">
        <v>73</v>
      </c>
      <c r="B6" s="8" t="s">
        <v>40</v>
      </c>
      <c r="C6" s="8" t="s">
        <v>68</v>
      </c>
      <c r="D6" s="8" t="s">
        <v>74</v>
      </c>
      <c r="E6" s="8" t="s">
        <v>75</v>
      </c>
      <c r="F6" s="8" t="s">
        <v>76</v>
      </c>
      <c r="G6" s="6" t="s">
        <v>48</v>
      </c>
      <c r="H6" s="9" t="s">
        <v>39</v>
      </c>
      <c r="I6" s="9" t="s">
        <v>55</v>
      </c>
      <c r="J6" s="10">
        <v>46329.0</v>
      </c>
      <c r="K6" s="9" t="s">
        <v>78</v>
      </c>
      <c r="L6" s="12"/>
      <c r="M6" s="13"/>
      <c r="N6" s="13"/>
    </row>
    <row r="7" ht="61.5" customHeight="1">
      <c r="A7" s="6" t="s">
        <v>79</v>
      </c>
      <c r="B7" s="8" t="s">
        <v>80</v>
      </c>
      <c r="C7" s="8" t="s">
        <v>81</v>
      </c>
      <c r="D7" s="8" t="s">
        <v>82</v>
      </c>
      <c r="E7" s="8" t="s">
        <v>83</v>
      </c>
      <c r="F7" s="8" t="s">
        <v>85</v>
      </c>
      <c r="G7" s="6" t="s">
        <v>48</v>
      </c>
      <c r="H7" s="9" t="s">
        <v>39</v>
      </c>
      <c r="I7" s="9" t="s">
        <v>55</v>
      </c>
      <c r="J7" s="10">
        <v>46330.0</v>
      </c>
      <c r="K7" s="9" t="s">
        <v>51</v>
      </c>
      <c r="L7" s="12"/>
      <c r="M7" s="13"/>
      <c r="N7" s="13"/>
    </row>
    <row r="8" ht="61.5" customHeight="1">
      <c r="A8" s="6" t="s">
        <v>86</v>
      </c>
      <c r="B8" s="8" t="s">
        <v>80</v>
      </c>
      <c r="C8" s="8" t="s">
        <v>87</v>
      </c>
      <c r="D8" s="8" t="s">
        <v>88</v>
      </c>
      <c r="E8" s="8" t="s">
        <v>89</v>
      </c>
      <c r="F8" s="8" t="s">
        <v>91</v>
      </c>
      <c r="G8" s="6" t="s">
        <v>48</v>
      </c>
      <c r="H8" s="9" t="s">
        <v>39</v>
      </c>
      <c r="I8" s="9" t="s">
        <v>55</v>
      </c>
      <c r="J8" s="10">
        <v>46330.0</v>
      </c>
      <c r="K8" s="9" t="s">
        <v>51</v>
      </c>
      <c r="L8" s="12"/>
      <c r="M8" s="13"/>
      <c r="N8" s="13"/>
    </row>
    <row r="9" ht="61.5" customHeight="1">
      <c r="A9" s="6" t="s">
        <v>92</v>
      </c>
      <c r="B9" s="8" t="s">
        <v>80</v>
      </c>
      <c r="C9" s="8" t="s">
        <v>87</v>
      </c>
      <c r="D9" s="8" t="s">
        <v>93</v>
      </c>
      <c r="E9" s="8" t="s">
        <v>94</v>
      </c>
      <c r="F9" s="8" t="s">
        <v>96</v>
      </c>
      <c r="G9" s="6" t="s">
        <v>48</v>
      </c>
      <c r="H9" s="9" t="s">
        <v>39</v>
      </c>
      <c r="I9" s="9" t="s">
        <v>55</v>
      </c>
      <c r="J9" s="10">
        <v>46330.0</v>
      </c>
      <c r="K9" s="9" t="s">
        <v>51</v>
      </c>
      <c r="L9" s="12"/>
      <c r="M9" s="13"/>
      <c r="N9" s="13"/>
    </row>
    <row r="10" ht="61.5" customHeight="1">
      <c r="A10" s="6" t="s">
        <v>97</v>
      </c>
      <c r="B10" s="8" t="s">
        <v>80</v>
      </c>
      <c r="C10" s="8" t="s">
        <v>87</v>
      </c>
      <c r="D10" s="8" t="s">
        <v>99</v>
      </c>
      <c r="E10" s="8" t="s">
        <v>100</v>
      </c>
      <c r="F10" s="8" t="s">
        <v>101</v>
      </c>
      <c r="G10" s="6" t="s">
        <v>48</v>
      </c>
      <c r="H10" s="9" t="s">
        <v>39</v>
      </c>
      <c r="I10" s="9" t="s">
        <v>55</v>
      </c>
      <c r="J10" s="10">
        <v>46331.0</v>
      </c>
      <c r="K10" s="9" t="s">
        <v>51</v>
      </c>
      <c r="L10" s="12"/>
      <c r="M10" s="12"/>
      <c r="N10" s="12"/>
    </row>
    <row r="11" ht="61.5" customHeight="1">
      <c r="A11" s="6" t="s">
        <v>102</v>
      </c>
      <c r="B11" s="8" t="s">
        <v>80</v>
      </c>
      <c r="C11" s="8" t="s">
        <v>104</v>
      </c>
      <c r="D11" s="8" t="s">
        <v>105</v>
      </c>
      <c r="E11" s="8" t="s">
        <v>106</v>
      </c>
      <c r="F11" s="8" t="s">
        <v>107</v>
      </c>
      <c r="G11" s="6" t="s">
        <v>108</v>
      </c>
      <c r="H11" s="9" t="s">
        <v>109</v>
      </c>
      <c r="I11" s="9" t="s">
        <v>55</v>
      </c>
      <c r="J11" s="10">
        <v>46344.0</v>
      </c>
      <c r="K11" s="9" t="s">
        <v>51</v>
      </c>
      <c r="L11" s="12"/>
      <c r="M11" s="13"/>
      <c r="N11" s="13"/>
    </row>
    <row r="12" ht="61.5" customHeight="1">
      <c r="A12" s="6" t="s">
        <v>110</v>
      </c>
      <c r="B12" s="8" t="s">
        <v>80</v>
      </c>
      <c r="C12" s="8" t="s">
        <v>104</v>
      </c>
      <c r="D12" s="8" t="s">
        <v>112</v>
      </c>
      <c r="E12" s="8" t="s">
        <v>113</v>
      </c>
      <c r="F12" s="8" t="s">
        <v>114</v>
      </c>
      <c r="G12" s="6" t="s">
        <v>108</v>
      </c>
      <c r="H12" s="9" t="s">
        <v>39</v>
      </c>
      <c r="I12" s="9" t="s">
        <v>55</v>
      </c>
      <c r="J12" s="10">
        <v>46331.0</v>
      </c>
      <c r="K12" s="9" t="s">
        <v>51</v>
      </c>
      <c r="L12" s="12"/>
      <c r="M12" s="13"/>
      <c r="N12" s="13"/>
    </row>
    <row r="13" ht="61.5" customHeight="1">
      <c r="A13" s="6" t="s">
        <v>115</v>
      </c>
      <c r="B13" s="8" t="s">
        <v>80</v>
      </c>
      <c r="C13" s="8" t="s">
        <v>104</v>
      </c>
      <c r="D13" s="8" t="s">
        <v>117</v>
      </c>
      <c r="E13" s="8" t="s">
        <v>118</v>
      </c>
      <c r="F13" s="8" t="s">
        <v>119</v>
      </c>
      <c r="G13" s="6" t="s">
        <v>108</v>
      </c>
      <c r="H13" s="9" t="s">
        <v>39</v>
      </c>
      <c r="I13" s="9" t="s">
        <v>55</v>
      </c>
      <c r="J13" s="10">
        <v>46331.0</v>
      </c>
      <c r="K13" s="9" t="s">
        <v>51</v>
      </c>
      <c r="L13" s="12"/>
      <c r="M13" s="13"/>
      <c r="N13" s="13"/>
    </row>
    <row r="14" ht="61.5" customHeight="1">
      <c r="A14" s="6" t="s">
        <v>120</v>
      </c>
      <c r="B14" s="8" t="s">
        <v>80</v>
      </c>
      <c r="C14" s="8" t="s">
        <v>121</v>
      </c>
      <c r="D14" s="8" t="s">
        <v>122</v>
      </c>
      <c r="E14" s="8" t="s">
        <v>124</v>
      </c>
      <c r="F14" s="8" t="s">
        <v>125</v>
      </c>
      <c r="G14" s="6" t="s">
        <v>48</v>
      </c>
      <c r="H14" s="9" t="s">
        <v>39</v>
      </c>
      <c r="I14" s="9" t="s">
        <v>55</v>
      </c>
      <c r="J14" s="10">
        <v>46332.0</v>
      </c>
      <c r="K14" s="9" t="s">
        <v>78</v>
      </c>
      <c r="L14" s="12"/>
      <c r="M14" s="13"/>
      <c r="N14" s="13"/>
    </row>
    <row r="15" ht="61.5" customHeight="1">
      <c r="A15" s="6" t="s">
        <v>126</v>
      </c>
      <c r="B15" s="8" t="s">
        <v>127</v>
      </c>
      <c r="C15" s="8" t="s">
        <v>128</v>
      </c>
      <c r="D15" s="8" t="s">
        <v>129</v>
      </c>
      <c r="E15" s="8" t="s">
        <v>130</v>
      </c>
      <c r="F15" s="8" t="s">
        <v>132</v>
      </c>
      <c r="G15" s="6" t="s">
        <v>48</v>
      </c>
      <c r="H15" s="9" t="s">
        <v>39</v>
      </c>
      <c r="I15" s="9" t="s">
        <v>55</v>
      </c>
      <c r="J15" s="10">
        <v>46332.0</v>
      </c>
      <c r="K15" s="9" t="s">
        <v>51</v>
      </c>
      <c r="L15" s="12"/>
      <c r="M15" s="13"/>
      <c r="N15" s="13"/>
    </row>
    <row r="16" ht="61.5" customHeight="1">
      <c r="A16" s="6" t="s">
        <v>133</v>
      </c>
      <c r="B16" s="8" t="s">
        <v>127</v>
      </c>
      <c r="C16" s="8" t="s">
        <v>134</v>
      </c>
      <c r="D16" s="8" t="s">
        <v>135</v>
      </c>
      <c r="E16" s="8" t="s">
        <v>136</v>
      </c>
      <c r="F16" s="8" t="s">
        <v>137</v>
      </c>
      <c r="G16" s="6" t="s">
        <v>108</v>
      </c>
      <c r="H16" s="9" t="s">
        <v>39</v>
      </c>
      <c r="I16" s="9" t="s">
        <v>55</v>
      </c>
      <c r="J16" s="10">
        <v>46332.0</v>
      </c>
      <c r="K16" s="9" t="s">
        <v>78</v>
      </c>
      <c r="L16" s="12"/>
      <c r="M16" s="13"/>
      <c r="N16" s="13"/>
    </row>
    <row r="17" ht="61.5" customHeight="1">
      <c r="A17" s="6" t="s">
        <v>139</v>
      </c>
      <c r="B17" s="8" t="s">
        <v>127</v>
      </c>
      <c r="C17" s="8" t="s">
        <v>140</v>
      </c>
      <c r="D17" s="8" t="s">
        <v>141</v>
      </c>
      <c r="E17" s="8" t="s">
        <v>142</v>
      </c>
      <c r="F17" s="8" t="s">
        <v>143</v>
      </c>
      <c r="G17" s="6" t="s">
        <v>48</v>
      </c>
      <c r="H17" s="9" t="s">
        <v>39</v>
      </c>
      <c r="I17" s="9" t="s">
        <v>55</v>
      </c>
      <c r="J17" s="10">
        <v>46335.0</v>
      </c>
      <c r="K17" s="9" t="s">
        <v>78</v>
      </c>
      <c r="L17" s="12"/>
      <c r="M17" s="13"/>
      <c r="N17" s="13"/>
    </row>
    <row r="18" ht="61.5" customHeight="1">
      <c r="A18" s="6" t="s">
        <v>145</v>
      </c>
      <c r="B18" s="8" t="s">
        <v>127</v>
      </c>
      <c r="C18" s="8" t="s">
        <v>140</v>
      </c>
      <c r="D18" s="8" t="s">
        <v>146</v>
      </c>
      <c r="E18" s="8" t="s">
        <v>147</v>
      </c>
      <c r="F18" s="8" t="s">
        <v>148</v>
      </c>
      <c r="G18" s="6" t="s">
        <v>48</v>
      </c>
      <c r="H18" s="9" t="s">
        <v>39</v>
      </c>
      <c r="I18" s="9" t="s">
        <v>55</v>
      </c>
      <c r="J18" s="10">
        <v>46335.0</v>
      </c>
      <c r="K18" s="9" t="s">
        <v>78</v>
      </c>
      <c r="L18" s="12"/>
      <c r="M18" s="13"/>
      <c r="N18" s="13"/>
    </row>
    <row r="19" ht="61.5" customHeight="1">
      <c r="A19" s="6" t="s">
        <v>150</v>
      </c>
      <c r="B19" s="8" t="s">
        <v>127</v>
      </c>
      <c r="C19" s="8" t="s">
        <v>151</v>
      </c>
      <c r="D19" s="8" t="s">
        <v>152</v>
      </c>
      <c r="E19" s="8" t="s">
        <v>153</v>
      </c>
      <c r="F19" s="8" t="s">
        <v>154</v>
      </c>
      <c r="G19" s="6" t="s">
        <v>108</v>
      </c>
      <c r="H19" s="9" t="s">
        <v>39</v>
      </c>
      <c r="I19" s="9" t="s">
        <v>55</v>
      </c>
      <c r="J19" s="10">
        <v>46335.0</v>
      </c>
      <c r="K19" s="9" t="s">
        <v>78</v>
      </c>
      <c r="L19" s="12"/>
      <c r="M19" s="13"/>
      <c r="N19" s="13"/>
    </row>
    <row r="20" ht="61.5" customHeight="1">
      <c r="A20" s="6" t="s">
        <v>156</v>
      </c>
      <c r="B20" s="8" t="s">
        <v>127</v>
      </c>
      <c r="C20" s="8" t="s">
        <v>151</v>
      </c>
      <c r="D20" s="8" t="s">
        <v>157</v>
      </c>
      <c r="E20" s="8" t="s">
        <v>158</v>
      </c>
      <c r="F20" s="8" t="s">
        <v>159</v>
      </c>
      <c r="G20" s="6" t="s">
        <v>48</v>
      </c>
      <c r="H20" s="9" t="s">
        <v>39</v>
      </c>
      <c r="I20" s="9" t="s">
        <v>55</v>
      </c>
      <c r="J20" s="10">
        <v>46336.0</v>
      </c>
      <c r="K20" s="9" t="s">
        <v>78</v>
      </c>
      <c r="L20" s="12"/>
      <c r="M20" s="13"/>
      <c r="N20" s="13"/>
    </row>
    <row r="21" ht="61.5" customHeight="1">
      <c r="A21" s="6" t="s">
        <v>160</v>
      </c>
      <c r="B21" s="8" t="s">
        <v>127</v>
      </c>
      <c r="C21" s="8" t="s">
        <v>161</v>
      </c>
      <c r="D21" s="8" t="s">
        <v>162</v>
      </c>
      <c r="E21" s="8" t="s">
        <v>163</v>
      </c>
      <c r="F21" s="8" t="s">
        <v>164</v>
      </c>
      <c r="G21" s="6" t="s">
        <v>48</v>
      </c>
      <c r="H21" s="9" t="s">
        <v>39</v>
      </c>
      <c r="I21" s="9" t="s">
        <v>55</v>
      </c>
      <c r="J21" s="10">
        <v>46336.0</v>
      </c>
      <c r="K21" s="9" t="s">
        <v>78</v>
      </c>
      <c r="L21" s="12"/>
      <c r="M21" s="13"/>
      <c r="N21" s="13"/>
    </row>
    <row r="22" ht="61.5" customHeight="1">
      <c r="A22" s="6" t="s">
        <v>166</v>
      </c>
      <c r="B22" s="8" t="s">
        <v>127</v>
      </c>
      <c r="C22" s="8" t="s">
        <v>167</v>
      </c>
      <c r="D22" s="8" t="s">
        <v>168</v>
      </c>
      <c r="E22" s="8" t="s">
        <v>169</v>
      </c>
      <c r="F22" s="8" t="s">
        <v>170</v>
      </c>
      <c r="G22" s="6" t="s">
        <v>108</v>
      </c>
      <c r="H22" s="9" t="s">
        <v>39</v>
      </c>
      <c r="I22" s="9" t="s">
        <v>55</v>
      </c>
      <c r="J22" s="10">
        <v>46336.0</v>
      </c>
      <c r="K22" s="9" t="s">
        <v>56</v>
      </c>
      <c r="L22" s="12"/>
      <c r="M22" s="13"/>
      <c r="N22" s="13"/>
    </row>
    <row r="23" ht="61.5" customHeight="1">
      <c r="A23" s="6" t="s">
        <v>172</v>
      </c>
      <c r="B23" s="8" t="s">
        <v>173</v>
      </c>
      <c r="C23" s="8" t="s">
        <v>174</v>
      </c>
      <c r="D23" s="8" t="s">
        <v>175</v>
      </c>
      <c r="E23" s="8" t="s">
        <v>176</v>
      </c>
      <c r="F23" s="8" t="s">
        <v>177</v>
      </c>
      <c r="G23" s="6" t="s">
        <v>48</v>
      </c>
      <c r="H23" s="9" t="s">
        <v>39</v>
      </c>
      <c r="I23" s="9" t="s">
        <v>55</v>
      </c>
      <c r="J23" s="10">
        <v>46337.0</v>
      </c>
      <c r="K23" s="9" t="s">
        <v>51</v>
      </c>
      <c r="L23" s="12"/>
      <c r="M23" s="13"/>
      <c r="N23" s="13"/>
    </row>
    <row r="24" ht="61.5" customHeight="1">
      <c r="A24" s="6" t="s">
        <v>179</v>
      </c>
      <c r="B24" s="8" t="s">
        <v>173</v>
      </c>
      <c r="C24" s="8" t="s">
        <v>174</v>
      </c>
      <c r="D24" s="8" t="s">
        <v>180</v>
      </c>
      <c r="E24" s="8" t="s">
        <v>181</v>
      </c>
      <c r="F24" s="8" t="s">
        <v>182</v>
      </c>
      <c r="G24" s="6" t="s">
        <v>48</v>
      </c>
      <c r="H24" s="9" t="s">
        <v>39</v>
      </c>
      <c r="I24" s="9" t="s">
        <v>55</v>
      </c>
      <c r="J24" s="10">
        <v>46337.0</v>
      </c>
      <c r="K24" s="9" t="s">
        <v>51</v>
      </c>
      <c r="L24" s="12"/>
      <c r="M24" s="13"/>
      <c r="N24" s="13"/>
    </row>
    <row r="25" ht="61.5" customHeight="1">
      <c r="A25" s="6" t="s">
        <v>184</v>
      </c>
      <c r="B25" s="8" t="s">
        <v>173</v>
      </c>
      <c r="C25" s="8" t="s">
        <v>185</v>
      </c>
      <c r="D25" s="8" t="s">
        <v>186</v>
      </c>
      <c r="E25" s="8" t="s">
        <v>187</v>
      </c>
      <c r="F25" s="8" t="s">
        <v>188</v>
      </c>
      <c r="G25" s="6" t="s">
        <v>48</v>
      </c>
      <c r="H25" s="9" t="s">
        <v>39</v>
      </c>
      <c r="I25" s="9" t="s">
        <v>55</v>
      </c>
      <c r="J25" s="10">
        <v>46337.0</v>
      </c>
      <c r="K25" s="9" t="s">
        <v>56</v>
      </c>
      <c r="L25" s="12"/>
      <c r="M25" s="13"/>
      <c r="N25" s="13"/>
    </row>
    <row r="26" ht="61.5" customHeight="1">
      <c r="A26" s="6" t="s">
        <v>190</v>
      </c>
      <c r="B26" s="8" t="s">
        <v>173</v>
      </c>
      <c r="C26" s="8" t="s">
        <v>191</v>
      </c>
      <c r="D26" s="8" t="s">
        <v>192</v>
      </c>
      <c r="E26" s="8" t="s">
        <v>194</v>
      </c>
      <c r="F26" s="8" t="s">
        <v>195</v>
      </c>
      <c r="G26" s="6" t="s">
        <v>108</v>
      </c>
      <c r="H26" s="9" t="s">
        <v>39</v>
      </c>
      <c r="I26" s="9" t="s">
        <v>55</v>
      </c>
      <c r="J26" s="10">
        <v>46338.0</v>
      </c>
      <c r="K26" s="9" t="s">
        <v>56</v>
      </c>
      <c r="L26" s="12"/>
      <c r="M26" s="13"/>
      <c r="N26" s="13"/>
    </row>
    <row r="27" ht="61.5" customHeight="1">
      <c r="A27" s="6" t="s">
        <v>200</v>
      </c>
      <c r="B27" s="8" t="s">
        <v>173</v>
      </c>
      <c r="C27" s="8" t="s">
        <v>191</v>
      </c>
      <c r="D27" s="8" t="s">
        <v>201</v>
      </c>
      <c r="E27" s="8" t="s">
        <v>202</v>
      </c>
      <c r="F27" s="8" t="s">
        <v>203</v>
      </c>
      <c r="G27" s="6" t="s">
        <v>108</v>
      </c>
      <c r="H27" s="9" t="s">
        <v>39</v>
      </c>
      <c r="I27" s="9" t="s">
        <v>55</v>
      </c>
      <c r="J27" s="10">
        <v>46338.0</v>
      </c>
      <c r="K27" s="9" t="s">
        <v>78</v>
      </c>
      <c r="L27" s="12"/>
      <c r="M27" s="13"/>
      <c r="N27" s="13"/>
    </row>
    <row r="28" ht="61.5" customHeight="1">
      <c r="A28" s="6" t="s">
        <v>205</v>
      </c>
      <c r="B28" s="8" t="s">
        <v>206</v>
      </c>
      <c r="C28" s="8" t="s">
        <v>207</v>
      </c>
      <c r="D28" s="8" t="s">
        <v>208</v>
      </c>
      <c r="E28" s="8" t="s">
        <v>209</v>
      </c>
      <c r="F28" s="8" t="s">
        <v>210</v>
      </c>
      <c r="G28" s="6" t="s">
        <v>48</v>
      </c>
      <c r="H28" s="9" t="s">
        <v>39</v>
      </c>
      <c r="I28" s="9" t="s">
        <v>55</v>
      </c>
      <c r="J28" s="10">
        <v>46338.0</v>
      </c>
      <c r="K28" s="9" t="s">
        <v>51</v>
      </c>
      <c r="L28" s="12"/>
      <c r="M28" s="13"/>
      <c r="N28" s="13"/>
    </row>
    <row r="29" ht="61.5" customHeight="1">
      <c r="A29" s="6" t="s">
        <v>212</v>
      </c>
      <c r="B29" s="8" t="s">
        <v>206</v>
      </c>
      <c r="C29" s="8" t="s">
        <v>207</v>
      </c>
      <c r="D29" s="8" t="s">
        <v>213</v>
      </c>
      <c r="E29" s="8" t="s">
        <v>214</v>
      </c>
      <c r="F29" s="8" t="s">
        <v>215</v>
      </c>
      <c r="G29" s="6" t="s">
        <v>108</v>
      </c>
      <c r="H29" s="9" t="s">
        <v>39</v>
      </c>
      <c r="I29" s="9" t="s">
        <v>55</v>
      </c>
      <c r="J29" s="10">
        <v>46339.0</v>
      </c>
      <c r="K29" s="9" t="s">
        <v>51</v>
      </c>
      <c r="L29" s="12"/>
      <c r="M29" s="13"/>
      <c r="N29" s="13"/>
    </row>
    <row r="30" ht="61.5" customHeight="1">
      <c r="A30" s="6" t="s">
        <v>217</v>
      </c>
      <c r="B30" s="8" t="s">
        <v>206</v>
      </c>
      <c r="C30" s="8" t="s">
        <v>218</v>
      </c>
      <c r="D30" s="8" t="s">
        <v>219</v>
      </c>
      <c r="E30" s="8" t="s">
        <v>220</v>
      </c>
      <c r="F30" s="8" t="s">
        <v>154</v>
      </c>
      <c r="G30" s="6" t="s">
        <v>108</v>
      </c>
      <c r="H30" s="9" t="s">
        <v>39</v>
      </c>
      <c r="I30" s="9" t="s">
        <v>55</v>
      </c>
      <c r="J30" s="10">
        <v>46339.0</v>
      </c>
      <c r="K30" s="9" t="s">
        <v>51</v>
      </c>
      <c r="L30" s="12"/>
      <c r="M30" s="13"/>
      <c r="N30" s="13"/>
    </row>
    <row r="31" ht="61.5" customHeight="1">
      <c r="A31" s="6" t="s">
        <v>221</v>
      </c>
      <c r="B31" s="8" t="s">
        <v>206</v>
      </c>
      <c r="C31" s="8" t="s">
        <v>218</v>
      </c>
      <c r="D31" s="8" t="s">
        <v>222</v>
      </c>
      <c r="E31" s="8" t="s">
        <v>223</v>
      </c>
      <c r="F31" s="8" t="s">
        <v>224</v>
      </c>
      <c r="G31" s="6" t="s">
        <v>48</v>
      </c>
      <c r="H31" s="9" t="s">
        <v>39</v>
      </c>
      <c r="I31" s="9" t="s">
        <v>55</v>
      </c>
      <c r="J31" s="10">
        <v>46339.0</v>
      </c>
      <c r="K31" s="9" t="s">
        <v>78</v>
      </c>
      <c r="L31" s="12"/>
      <c r="M31" s="13"/>
      <c r="N31" s="13"/>
    </row>
    <row r="32" ht="61.5" customHeight="1">
      <c r="A32" s="6" t="s">
        <v>225</v>
      </c>
      <c r="B32" s="8" t="s">
        <v>206</v>
      </c>
      <c r="C32" s="8" t="s">
        <v>218</v>
      </c>
      <c r="D32" s="8" t="s">
        <v>226</v>
      </c>
      <c r="E32" s="8" t="s">
        <v>227</v>
      </c>
      <c r="F32" s="8" t="s">
        <v>228</v>
      </c>
      <c r="G32" s="6" t="s">
        <v>48</v>
      </c>
      <c r="H32" s="9" t="s">
        <v>39</v>
      </c>
      <c r="I32" s="9" t="s">
        <v>55</v>
      </c>
      <c r="J32" s="10">
        <v>46339.0</v>
      </c>
      <c r="K32" s="9" t="s">
        <v>78</v>
      </c>
      <c r="L32" s="12"/>
      <c r="M32" s="12"/>
      <c r="N32" s="12"/>
    </row>
    <row r="33" ht="61.5" customHeight="1">
      <c r="A33" s="6" t="s">
        <v>229</v>
      </c>
      <c r="B33" s="8" t="s">
        <v>206</v>
      </c>
      <c r="C33" s="8" t="s">
        <v>218</v>
      </c>
      <c r="D33" s="8" t="s">
        <v>230</v>
      </c>
      <c r="E33" s="8" t="s">
        <v>231</v>
      </c>
      <c r="F33" s="8" t="s">
        <v>232</v>
      </c>
      <c r="G33" s="6" t="s">
        <v>108</v>
      </c>
      <c r="H33" s="9" t="s">
        <v>109</v>
      </c>
      <c r="I33" s="9" t="s">
        <v>55</v>
      </c>
      <c r="J33" s="10">
        <v>46345.0</v>
      </c>
      <c r="K33" s="9" t="s">
        <v>51</v>
      </c>
      <c r="L33" s="12"/>
      <c r="M33" s="13"/>
      <c r="N33" s="13"/>
    </row>
    <row r="34" ht="61.5" customHeight="1">
      <c r="A34" s="6" t="s">
        <v>233</v>
      </c>
      <c r="B34" s="8" t="s">
        <v>206</v>
      </c>
      <c r="C34" s="8" t="s">
        <v>87</v>
      </c>
      <c r="D34" s="8" t="s">
        <v>234</v>
      </c>
      <c r="E34" s="8" t="s">
        <v>235</v>
      </c>
      <c r="F34" s="8" t="s">
        <v>236</v>
      </c>
      <c r="G34" s="6" t="s">
        <v>48</v>
      </c>
      <c r="H34" s="9" t="s">
        <v>39</v>
      </c>
      <c r="I34" s="9" t="s">
        <v>55</v>
      </c>
      <c r="J34" s="10">
        <v>46342.0</v>
      </c>
      <c r="K34" s="9" t="s">
        <v>78</v>
      </c>
      <c r="L34" s="12"/>
      <c r="M34" s="13"/>
      <c r="N34" s="13"/>
    </row>
    <row r="35" ht="61.5" customHeight="1">
      <c r="A35" s="6" t="s">
        <v>237</v>
      </c>
      <c r="B35" s="8" t="s">
        <v>206</v>
      </c>
      <c r="C35" s="8" t="s">
        <v>87</v>
      </c>
      <c r="D35" s="8" t="s">
        <v>238</v>
      </c>
      <c r="E35" s="8" t="s">
        <v>241</v>
      </c>
      <c r="F35" s="8" t="s">
        <v>243</v>
      </c>
      <c r="G35" s="6" t="s">
        <v>108</v>
      </c>
      <c r="H35" s="9" t="s">
        <v>109</v>
      </c>
      <c r="I35" s="9" t="s">
        <v>55</v>
      </c>
      <c r="J35" s="10">
        <v>46346.0</v>
      </c>
      <c r="K35" s="9" t="s">
        <v>51</v>
      </c>
      <c r="L35" s="12"/>
      <c r="M35" s="13"/>
      <c r="N35" s="13"/>
    </row>
    <row r="36" ht="61.5" customHeight="1">
      <c r="A36" s="6" t="s">
        <v>247</v>
      </c>
      <c r="B36" s="8" t="s">
        <v>248</v>
      </c>
      <c r="C36" s="8" t="s">
        <v>249</v>
      </c>
      <c r="D36" s="8" t="s">
        <v>250</v>
      </c>
      <c r="E36" s="8" t="s">
        <v>252</v>
      </c>
      <c r="F36" s="8" t="s">
        <v>253</v>
      </c>
      <c r="G36" s="6" t="s">
        <v>48</v>
      </c>
      <c r="H36" s="9" t="s">
        <v>39</v>
      </c>
      <c r="I36" s="9" t="s">
        <v>55</v>
      </c>
      <c r="J36" s="10">
        <v>46342.0</v>
      </c>
      <c r="K36" s="9" t="s">
        <v>51</v>
      </c>
      <c r="L36" s="12"/>
      <c r="M36" s="13"/>
      <c r="N36" s="13"/>
    </row>
    <row r="37" ht="61.5" customHeight="1">
      <c r="A37" s="6" t="s">
        <v>257</v>
      </c>
      <c r="B37" s="8" t="s">
        <v>248</v>
      </c>
      <c r="C37" s="8" t="s">
        <v>249</v>
      </c>
      <c r="D37" s="8" t="s">
        <v>258</v>
      </c>
      <c r="E37" s="8" t="s">
        <v>259</v>
      </c>
      <c r="F37" s="8" t="s">
        <v>260</v>
      </c>
      <c r="G37" s="6" t="s">
        <v>48</v>
      </c>
      <c r="H37" s="9" t="s">
        <v>39</v>
      </c>
      <c r="I37" s="9" t="s">
        <v>55</v>
      </c>
      <c r="J37" s="10">
        <v>46343.0</v>
      </c>
      <c r="K37" s="9" t="s">
        <v>78</v>
      </c>
      <c r="L37" s="12"/>
      <c r="M37" s="13"/>
      <c r="N37" s="13"/>
    </row>
    <row r="38" ht="61.5" customHeight="1">
      <c r="A38" s="6" t="s">
        <v>262</v>
      </c>
      <c r="B38" s="8" t="s">
        <v>248</v>
      </c>
      <c r="C38" s="8" t="s">
        <v>263</v>
      </c>
      <c r="D38" s="8" t="s">
        <v>264</v>
      </c>
      <c r="E38" s="8" t="s">
        <v>265</v>
      </c>
      <c r="F38" s="8" t="s">
        <v>266</v>
      </c>
      <c r="G38" s="6" t="s">
        <v>48</v>
      </c>
      <c r="H38" s="9" t="s">
        <v>39</v>
      </c>
      <c r="I38" s="9" t="s">
        <v>55</v>
      </c>
      <c r="J38" s="10">
        <v>46343.0</v>
      </c>
      <c r="K38" s="9" t="s">
        <v>51</v>
      </c>
      <c r="L38" s="12"/>
      <c r="M38" s="13"/>
      <c r="N38" s="13"/>
    </row>
    <row r="39" ht="61.5" customHeight="1">
      <c r="A39" s="6" t="s">
        <v>267</v>
      </c>
      <c r="B39" s="8" t="s">
        <v>248</v>
      </c>
      <c r="C39" s="8" t="s">
        <v>263</v>
      </c>
      <c r="D39" s="8" t="s">
        <v>268</v>
      </c>
      <c r="E39" s="8" t="s">
        <v>269</v>
      </c>
      <c r="F39" s="8" t="s">
        <v>270</v>
      </c>
      <c r="G39" s="6" t="s">
        <v>108</v>
      </c>
      <c r="H39" s="9" t="s">
        <v>39</v>
      </c>
      <c r="I39" s="9" t="s">
        <v>55</v>
      </c>
      <c r="J39" s="10">
        <v>46343.0</v>
      </c>
      <c r="K39" s="9" t="s">
        <v>51</v>
      </c>
      <c r="L39" s="12"/>
      <c r="M39" s="13"/>
      <c r="N39" s="13"/>
    </row>
    <row r="40" ht="61.5" customHeight="1">
      <c r="A40" s="6" t="s">
        <v>271</v>
      </c>
      <c r="B40" s="8" t="s">
        <v>272</v>
      </c>
      <c r="C40" s="8" t="s">
        <v>273</v>
      </c>
      <c r="D40" s="8" t="s">
        <v>274</v>
      </c>
      <c r="E40" s="8" t="s">
        <v>275</v>
      </c>
      <c r="F40" s="8" t="s">
        <v>276</v>
      </c>
      <c r="G40" s="6" t="s">
        <v>48</v>
      </c>
      <c r="H40" s="9" t="s">
        <v>39</v>
      </c>
      <c r="I40" s="9" t="s">
        <v>55</v>
      </c>
      <c r="J40" s="10">
        <v>46346.0</v>
      </c>
      <c r="K40" s="9" t="s">
        <v>56</v>
      </c>
      <c r="L40" s="12"/>
      <c r="M40" s="13"/>
      <c r="N40" s="13"/>
    </row>
    <row r="41" ht="61.5" customHeight="1">
      <c r="A41" s="6" t="s">
        <v>277</v>
      </c>
      <c r="B41" s="8" t="s">
        <v>272</v>
      </c>
      <c r="C41" s="8" t="s">
        <v>273</v>
      </c>
      <c r="D41" s="8" t="s">
        <v>278</v>
      </c>
      <c r="E41" s="8" t="s">
        <v>279</v>
      </c>
      <c r="F41" s="8" t="s">
        <v>280</v>
      </c>
      <c r="G41" s="6" t="s">
        <v>48</v>
      </c>
      <c r="H41" s="9" t="s">
        <v>39</v>
      </c>
      <c r="I41" s="9" t="s">
        <v>55</v>
      </c>
      <c r="J41" s="10">
        <v>46346.0</v>
      </c>
      <c r="K41" s="9" t="s">
        <v>56</v>
      </c>
      <c r="L41" s="12"/>
      <c r="M41" s="13"/>
      <c r="N41" s="13"/>
    </row>
    <row r="42" ht="61.5" customHeight="1">
      <c r="A42" s="6" t="s">
        <v>281</v>
      </c>
      <c r="B42" s="8" t="s">
        <v>272</v>
      </c>
      <c r="C42" s="8" t="s">
        <v>282</v>
      </c>
      <c r="D42" s="8" t="s">
        <v>283</v>
      </c>
      <c r="E42" s="8" t="s">
        <v>284</v>
      </c>
      <c r="F42" s="8" t="s">
        <v>285</v>
      </c>
      <c r="G42" s="6" t="s">
        <v>48</v>
      </c>
      <c r="H42" s="9" t="s">
        <v>39</v>
      </c>
      <c r="I42" s="9" t="s">
        <v>55</v>
      </c>
      <c r="J42" s="10">
        <v>46346.0</v>
      </c>
      <c r="K42" s="9" t="s">
        <v>56</v>
      </c>
      <c r="L42" s="12"/>
      <c r="M42" s="13"/>
      <c r="N42" s="13"/>
    </row>
    <row r="43" ht="61.5" customHeight="1">
      <c r="A43" s="6" t="s">
        <v>286</v>
      </c>
      <c r="B43" s="8" t="s">
        <v>272</v>
      </c>
      <c r="C43" s="8" t="s">
        <v>287</v>
      </c>
      <c r="D43" s="8" t="s">
        <v>288</v>
      </c>
      <c r="E43" s="8" t="s">
        <v>289</v>
      </c>
      <c r="F43" s="8" t="s">
        <v>290</v>
      </c>
      <c r="G43" s="6" t="s">
        <v>108</v>
      </c>
      <c r="H43" s="9" t="s">
        <v>39</v>
      </c>
      <c r="I43" s="9" t="s">
        <v>55</v>
      </c>
      <c r="J43" s="10">
        <v>46349.0</v>
      </c>
      <c r="K43" s="9" t="s">
        <v>78</v>
      </c>
      <c r="L43" s="12"/>
      <c r="M43" s="13"/>
      <c r="N43" s="13"/>
    </row>
    <row r="44" ht="61.5" customHeight="1">
      <c r="A44" s="6" t="s">
        <v>291</v>
      </c>
      <c r="B44" s="8" t="s">
        <v>292</v>
      </c>
      <c r="C44" s="8" t="s">
        <v>293</v>
      </c>
      <c r="D44" s="8" t="s">
        <v>294</v>
      </c>
      <c r="E44" s="8" t="s">
        <v>295</v>
      </c>
      <c r="F44" s="8" t="s">
        <v>296</v>
      </c>
      <c r="G44" s="6" t="s">
        <v>108</v>
      </c>
      <c r="H44" s="9" t="s">
        <v>39</v>
      </c>
      <c r="I44" s="9" t="s">
        <v>55</v>
      </c>
      <c r="J44" s="10">
        <v>46349.0</v>
      </c>
      <c r="K44" s="9" t="s">
        <v>56</v>
      </c>
      <c r="L44" s="12"/>
      <c r="M44" s="13"/>
      <c r="N44" s="13"/>
    </row>
    <row r="45" ht="61.5" customHeight="1">
      <c r="A45" s="6" t="s">
        <v>297</v>
      </c>
      <c r="B45" s="8" t="s">
        <v>292</v>
      </c>
      <c r="C45" s="8" t="s">
        <v>298</v>
      </c>
      <c r="D45" s="8" t="s">
        <v>299</v>
      </c>
      <c r="E45" s="8" t="s">
        <v>300</v>
      </c>
      <c r="F45" s="8" t="s">
        <v>301</v>
      </c>
      <c r="G45" s="6" t="s">
        <v>302</v>
      </c>
      <c r="H45" s="9" t="s">
        <v>39</v>
      </c>
      <c r="I45" s="9" t="s">
        <v>55</v>
      </c>
      <c r="J45" s="10">
        <v>46349.0</v>
      </c>
      <c r="K45" s="9" t="s">
        <v>56</v>
      </c>
      <c r="L45" s="12"/>
      <c r="M45" s="13"/>
      <c r="N45" s="13"/>
    </row>
    <row r="46" ht="61.5" customHeight="1">
      <c r="A46" s="6" t="s">
        <v>303</v>
      </c>
      <c r="B46" s="8" t="s">
        <v>292</v>
      </c>
      <c r="C46" s="8" t="s">
        <v>304</v>
      </c>
      <c r="D46" s="8" t="s">
        <v>305</v>
      </c>
      <c r="E46" s="8" t="s">
        <v>306</v>
      </c>
      <c r="F46" s="8" t="s">
        <v>307</v>
      </c>
      <c r="G46" s="6" t="s">
        <v>108</v>
      </c>
      <c r="H46" s="9" t="s">
        <v>39</v>
      </c>
      <c r="I46" s="9" t="s">
        <v>55</v>
      </c>
      <c r="J46" s="10">
        <v>46350.0</v>
      </c>
      <c r="K46" s="9" t="s">
        <v>51</v>
      </c>
      <c r="L46" s="12"/>
      <c r="M46" s="13"/>
      <c r="N46" s="13"/>
    </row>
    <row r="47" ht="61.5" customHeight="1">
      <c r="A47" s="6" t="s">
        <v>308</v>
      </c>
      <c r="B47" s="8" t="s">
        <v>309</v>
      </c>
      <c r="C47" s="8" t="s">
        <v>310</v>
      </c>
      <c r="D47" s="8" t="s">
        <v>311</v>
      </c>
      <c r="E47" s="8" t="s">
        <v>312</v>
      </c>
      <c r="F47" s="8" t="s">
        <v>313</v>
      </c>
      <c r="G47" s="6" t="s">
        <v>48</v>
      </c>
      <c r="H47" s="9" t="s">
        <v>109</v>
      </c>
      <c r="I47" s="9" t="s">
        <v>55</v>
      </c>
      <c r="J47" s="10">
        <v>46351.0</v>
      </c>
      <c r="K47" s="9" t="s">
        <v>78</v>
      </c>
      <c r="L47" s="12"/>
      <c r="M47" s="13"/>
      <c r="N47" s="13"/>
    </row>
    <row r="48" ht="61.5" customHeight="1">
      <c r="A48" s="6" t="s">
        <v>314</v>
      </c>
      <c r="B48" s="8" t="s">
        <v>309</v>
      </c>
      <c r="C48" s="8" t="s">
        <v>315</v>
      </c>
      <c r="D48" s="8" t="s">
        <v>316</v>
      </c>
      <c r="E48" s="8" t="s">
        <v>317</v>
      </c>
      <c r="F48" s="8" t="s">
        <v>318</v>
      </c>
      <c r="G48" s="6" t="s">
        <v>48</v>
      </c>
      <c r="H48" s="9" t="s">
        <v>109</v>
      </c>
      <c r="I48" s="9" t="s">
        <v>55</v>
      </c>
      <c r="J48" s="10">
        <v>46352.0</v>
      </c>
      <c r="K48" s="9" t="s">
        <v>78</v>
      </c>
      <c r="L48" s="12"/>
      <c r="M48" s="13"/>
      <c r="N48" s="13"/>
    </row>
    <row r="49" ht="61.5" customHeight="1">
      <c r="A49" s="6" t="s">
        <v>319</v>
      </c>
      <c r="B49" s="8" t="s">
        <v>309</v>
      </c>
      <c r="C49" s="8" t="s">
        <v>320</v>
      </c>
      <c r="D49" s="8" t="s">
        <v>321</v>
      </c>
      <c r="E49" s="8" t="s">
        <v>322</v>
      </c>
      <c r="F49" s="8" t="s">
        <v>323</v>
      </c>
      <c r="G49" s="6" t="s">
        <v>48</v>
      </c>
      <c r="H49" s="9" t="s">
        <v>324</v>
      </c>
      <c r="I49" s="9" t="s">
        <v>55</v>
      </c>
      <c r="J49" s="10">
        <v>46357.0</v>
      </c>
      <c r="K49" s="9" t="s">
        <v>56</v>
      </c>
      <c r="L49" s="12"/>
      <c r="M49" s="13"/>
      <c r="N49" s="13"/>
    </row>
    <row r="50" ht="61.5" customHeight="1">
      <c r="A50" s="6" t="s">
        <v>325</v>
      </c>
      <c r="B50" s="8" t="s">
        <v>326</v>
      </c>
      <c r="C50" s="8" t="s">
        <v>161</v>
      </c>
      <c r="D50" s="8" t="s">
        <v>327</v>
      </c>
      <c r="E50" s="8" t="s">
        <v>328</v>
      </c>
      <c r="F50" s="8" t="s">
        <v>329</v>
      </c>
      <c r="G50" s="6" t="s">
        <v>48</v>
      </c>
      <c r="H50" s="9" t="s">
        <v>109</v>
      </c>
      <c r="I50" s="9" t="s">
        <v>55</v>
      </c>
      <c r="J50" s="10">
        <v>46352.0</v>
      </c>
      <c r="K50" s="9" t="s">
        <v>78</v>
      </c>
      <c r="L50" s="12"/>
      <c r="M50" s="13"/>
      <c r="N50" s="13"/>
    </row>
    <row r="51" ht="61.5" customHeight="1">
      <c r="A51" s="6" t="s">
        <v>330</v>
      </c>
      <c r="B51" s="8" t="s">
        <v>326</v>
      </c>
      <c r="C51" s="8" t="s">
        <v>331</v>
      </c>
      <c r="D51" s="8" t="s">
        <v>332</v>
      </c>
      <c r="E51" s="8" t="s">
        <v>333</v>
      </c>
      <c r="F51" s="8" t="s">
        <v>334</v>
      </c>
      <c r="G51" s="6" t="s">
        <v>108</v>
      </c>
      <c r="H51" s="9" t="s">
        <v>109</v>
      </c>
      <c r="I51" s="9" t="s">
        <v>55</v>
      </c>
      <c r="J51" s="10">
        <v>46358.0</v>
      </c>
      <c r="K51" s="9" t="s">
        <v>51</v>
      </c>
      <c r="L51" s="12"/>
      <c r="M51" s="13"/>
      <c r="N51" s="13"/>
    </row>
    <row r="52" ht="61.5" customHeight="1">
      <c r="A52" s="6" t="s">
        <v>336</v>
      </c>
      <c r="B52" s="8" t="s">
        <v>326</v>
      </c>
      <c r="C52" s="8" t="s">
        <v>337</v>
      </c>
      <c r="D52" s="8" t="s">
        <v>338</v>
      </c>
      <c r="E52" s="8" t="s">
        <v>339</v>
      </c>
      <c r="F52" s="8" t="s">
        <v>340</v>
      </c>
      <c r="G52" s="6" t="s">
        <v>108</v>
      </c>
      <c r="H52" s="9" t="s">
        <v>109</v>
      </c>
      <c r="I52" s="9" t="s">
        <v>55</v>
      </c>
      <c r="J52" s="10">
        <v>46352.0</v>
      </c>
      <c r="K52" s="9" t="s">
        <v>51</v>
      </c>
      <c r="L52" s="12"/>
      <c r="M52" s="13"/>
      <c r="N52" s="13"/>
    </row>
    <row r="53" ht="61.5" customHeight="1">
      <c r="A53" s="6" t="s">
        <v>341</v>
      </c>
      <c r="B53" s="8" t="s">
        <v>326</v>
      </c>
      <c r="C53" s="8" t="s">
        <v>342</v>
      </c>
      <c r="D53" s="8" t="s">
        <v>343</v>
      </c>
      <c r="E53" s="8" t="s">
        <v>344</v>
      </c>
      <c r="F53" s="8" t="s">
        <v>345</v>
      </c>
      <c r="G53" s="6" t="s">
        <v>108</v>
      </c>
      <c r="H53" s="9" t="s">
        <v>109</v>
      </c>
      <c r="I53" s="9" t="s">
        <v>55</v>
      </c>
      <c r="J53" s="10">
        <v>46353.0</v>
      </c>
      <c r="K53" s="9" t="s">
        <v>78</v>
      </c>
      <c r="L53" s="12"/>
      <c r="M53" s="13"/>
      <c r="N53" s="13"/>
    </row>
    <row r="54" ht="61.5" customHeight="1">
      <c r="A54" s="6" t="s">
        <v>346</v>
      </c>
      <c r="B54" s="8" t="s">
        <v>326</v>
      </c>
      <c r="C54" s="8" t="s">
        <v>342</v>
      </c>
      <c r="D54" s="8" t="s">
        <v>347</v>
      </c>
      <c r="E54" s="8" t="s">
        <v>348</v>
      </c>
      <c r="F54" s="8" t="s">
        <v>349</v>
      </c>
      <c r="G54" s="6" t="s">
        <v>108</v>
      </c>
      <c r="H54" s="9" t="s">
        <v>109</v>
      </c>
      <c r="I54" s="9" t="s">
        <v>55</v>
      </c>
      <c r="J54" s="10">
        <v>46353.0</v>
      </c>
      <c r="K54" s="9" t="s">
        <v>78</v>
      </c>
      <c r="L54" s="12"/>
      <c r="M54" s="13"/>
      <c r="N54" s="13"/>
    </row>
    <row r="55" ht="61.5" customHeight="1">
      <c r="A55" s="6" t="s">
        <v>350</v>
      </c>
      <c r="B55" s="8" t="s">
        <v>326</v>
      </c>
      <c r="C55" s="8" t="s">
        <v>351</v>
      </c>
      <c r="D55" s="8" t="s">
        <v>352</v>
      </c>
      <c r="E55" s="8" t="s">
        <v>353</v>
      </c>
      <c r="F55" s="8" t="s">
        <v>354</v>
      </c>
      <c r="G55" s="6" t="s">
        <v>302</v>
      </c>
      <c r="H55" s="9" t="s">
        <v>109</v>
      </c>
      <c r="I55" s="9" t="s">
        <v>55</v>
      </c>
      <c r="J55" s="10">
        <v>46353.0</v>
      </c>
      <c r="K55" s="9" t="s">
        <v>78</v>
      </c>
      <c r="L55" s="12"/>
      <c r="M55" s="13"/>
      <c r="N55" s="13"/>
    </row>
    <row r="56" ht="61.5" customHeight="1">
      <c r="A56" s="6" t="s">
        <v>355</v>
      </c>
      <c r="B56" s="8" t="s">
        <v>326</v>
      </c>
      <c r="C56" s="8" t="s">
        <v>356</v>
      </c>
      <c r="D56" s="8" t="s">
        <v>357</v>
      </c>
      <c r="E56" s="8" t="s">
        <v>358</v>
      </c>
      <c r="F56" s="8" t="s">
        <v>359</v>
      </c>
      <c r="G56" s="6" t="s">
        <v>108</v>
      </c>
      <c r="H56" s="9" t="s">
        <v>109</v>
      </c>
      <c r="I56" s="9" t="s">
        <v>55</v>
      </c>
      <c r="J56" s="10">
        <v>46353.0</v>
      </c>
      <c r="K56" s="9" t="s">
        <v>56</v>
      </c>
      <c r="L56" s="12"/>
      <c r="M56" s="13"/>
      <c r="N56" s="13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56"/>
  <conditionalFormatting sqref="I2:I56">
    <cfRule type="cellIs" dxfId="0" priority="1" operator="equal">
      <formula>"Aprobado"</formula>
    </cfRule>
  </conditionalFormatting>
  <conditionalFormatting sqref="I2:I56">
    <cfRule type="cellIs" dxfId="1" priority="2" operator="equal">
      <formula>"Fallido"</formula>
    </cfRule>
  </conditionalFormatting>
  <conditionalFormatting sqref="I2:I56">
    <cfRule type="cellIs" dxfId="2" priority="3" operator="equal">
      <formula>"Bloqueado"</formula>
    </cfRule>
  </conditionalFormatting>
  <conditionalFormatting sqref="I2:I56">
    <cfRule type="cellIs" dxfId="3" priority="4" operator="equal">
      <formula>"Por ejecutar"</formula>
    </cfRule>
  </conditionalFormatting>
  <dataValidations>
    <dataValidation type="list" allowBlank="1" showInputMessage="1" showErrorMessage="1" prompt="Ciclo - Elige un valor de la lista." sqref="H2:H56">
      <formula1>"Ciclo 1,Ciclo 2 (regresión),Aceptación (UAT)"</formula1>
    </dataValidation>
    <dataValidation type="list" allowBlank="1" showInputMessage="1" showErrorMessage="1" prompt="Responsable - Elige un valor de la lista." sqref="K2:K56">
      <formula1>"Renato Carreño,Camilo Rojas,Jorge Berroeta"</formula1>
    </dataValidation>
    <dataValidation type="list" allowBlank="1" showInputMessage="1" showErrorMessage="1" prompt="Estado - Elige un valor de la lista." sqref="I2:I56">
      <formula1>"Por ejecutar,Aprobado,Fallido,Bloqueado"</formula1>
    </dataValidation>
    <dataValidation type="date" operator="greaterThan" allowBlank="1" showInputMessage="1" showErrorMessage="1" prompt="Fecha - Ingresa una fecha válida (dd/mm/aaaa)." sqref="J2:J56">
      <formula1>44927.0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3.0"/>
    <col customWidth="1" min="3" max="3" width="30.0"/>
    <col customWidth="1" min="4" max="4" width="46.0"/>
    <col customWidth="1" min="5" max="5" width="40.0"/>
    <col customWidth="1" min="6" max="6" width="12.0"/>
    <col customWidth="1" min="7" max="7" width="16.0"/>
    <col customWidth="1" min="8" max="8" width="18.0"/>
    <col customWidth="1" min="9" max="10" width="14.0"/>
    <col customWidth="1" min="11" max="11" width="34.0"/>
    <col customWidth="1" min="12" max="26" width="8.71"/>
  </cols>
  <sheetData>
    <row r="1" ht="31.5" customHeight="1">
      <c r="A1" s="5" t="s">
        <v>19</v>
      </c>
      <c r="B1" s="5" t="s">
        <v>25</v>
      </c>
      <c r="C1" s="5" t="s">
        <v>29</v>
      </c>
      <c r="D1" s="5" t="s">
        <v>31</v>
      </c>
      <c r="E1" s="5" t="s">
        <v>32</v>
      </c>
      <c r="F1" s="5" t="s">
        <v>35</v>
      </c>
      <c r="G1" s="5" t="s">
        <v>24</v>
      </c>
      <c r="H1" s="5" t="s">
        <v>37</v>
      </c>
      <c r="I1" s="5" t="s">
        <v>38</v>
      </c>
      <c r="J1" s="5" t="s">
        <v>41</v>
      </c>
      <c r="K1" s="5" t="s">
        <v>42</v>
      </c>
    </row>
    <row r="2" ht="36.0" customHeight="1">
      <c r="A2" s="6" t="s">
        <v>50</v>
      </c>
      <c r="B2" s="11"/>
      <c r="C2" s="13"/>
      <c r="D2" s="13"/>
      <c r="E2" s="13"/>
      <c r="F2" s="11"/>
      <c r="G2" s="11"/>
      <c r="H2" s="13"/>
      <c r="I2" s="14"/>
      <c r="J2" s="14"/>
      <c r="K2" s="13"/>
    </row>
    <row r="3" ht="36.0" customHeight="1">
      <c r="A3" s="6" t="s">
        <v>62</v>
      </c>
      <c r="B3" s="11"/>
      <c r="C3" s="13"/>
      <c r="D3" s="13"/>
      <c r="E3" s="13"/>
      <c r="F3" s="11"/>
      <c r="G3" s="11"/>
      <c r="H3" s="13"/>
      <c r="I3" s="14"/>
      <c r="J3" s="14"/>
      <c r="K3" s="13"/>
    </row>
    <row r="4" ht="36.0" customHeight="1">
      <c r="A4" s="6" t="s">
        <v>71</v>
      </c>
      <c r="B4" s="11"/>
      <c r="C4" s="13"/>
      <c r="D4" s="13"/>
      <c r="E4" s="13"/>
      <c r="F4" s="11"/>
      <c r="G4" s="11"/>
      <c r="H4" s="13"/>
      <c r="I4" s="14"/>
      <c r="J4" s="14"/>
      <c r="K4" s="13"/>
    </row>
    <row r="5" ht="36.0" customHeight="1">
      <c r="A5" s="6" t="s">
        <v>77</v>
      </c>
      <c r="B5" s="11"/>
      <c r="C5" s="13"/>
      <c r="D5" s="13"/>
      <c r="E5" s="13"/>
      <c r="F5" s="11"/>
      <c r="G5" s="11"/>
      <c r="H5" s="13"/>
      <c r="I5" s="14"/>
      <c r="J5" s="14"/>
      <c r="K5" s="13"/>
    </row>
    <row r="6" ht="36.0" customHeight="1">
      <c r="A6" s="6" t="s">
        <v>84</v>
      </c>
      <c r="B6" s="11"/>
      <c r="C6" s="13"/>
      <c r="D6" s="13"/>
      <c r="E6" s="13"/>
      <c r="F6" s="11"/>
      <c r="G6" s="11"/>
      <c r="H6" s="13"/>
      <c r="I6" s="14"/>
      <c r="J6" s="14"/>
      <c r="K6" s="13"/>
    </row>
    <row r="7" ht="36.0" customHeight="1">
      <c r="A7" s="6" t="s">
        <v>90</v>
      </c>
      <c r="B7" s="11"/>
      <c r="C7" s="13"/>
      <c r="D7" s="13"/>
      <c r="E7" s="13"/>
      <c r="F7" s="11"/>
      <c r="G7" s="11"/>
      <c r="H7" s="13"/>
      <c r="I7" s="14"/>
      <c r="J7" s="14"/>
      <c r="K7" s="13"/>
    </row>
    <row r="8" ht="36.0" customHeight="1">
      <c r="A8" s="6" t="s">
        <v>95</v>
      </c>
      <c r="B8" s="11"/>
      <c r="C8" s="13"/>
      <c r="D8" s="13"/>
      <c r="E8" s="13"/>
      <c r="F8" s="11"/>
      <c r="G8" s="11"/>
      <c r="H8" s="13"/>
      <c r="I8" s="14"/>
      <c r="J8" s="14"/>
      <c r="K8" s="13"/>
    </row>
    <row r="9" ht="36.0" customHeight="1">
      <c r="A9" s="6" t="s">
        <v>98</v>
      </c>
      <c r="B9" s="11"/>
      <c r="C9" s="13"/>
      <c r="D9" s="13"/>
      <c r="E9" s="13"/>
      <c r="F9" s="11"/>
      <c r="G9" s="11"/>
      <c r="H9" s="13"/>
      <c r="I9" s="14"/>
      <c r="J9" s="14"/>
      <c r="K9" s="13"/>
    </row>
    <row r="10" ht="36.0" customHeight="1">
      <c r="A10" s="6" t="s">
        <v>103</v>
      </c>
      <c r="B10" s="11"/>
      <c r="C10" s="13"/>
      <c r="D10" s="13"/>
      <c r="E10" s="13"/>
      <c r="F10" s="11"/>
      <c r="G10" s="11"/>
      <c r="H10" s="13"/>
      <c r="I10" s="14"/>
      <c r="J10" s="14"/>
      <c r="K10" s="13"/>
    </row>
    <row r="11" ht="36.0" customHeight="1">
      <c r="A11" s="6" t="s">
        <v>111</v>
      </c>
      <c r="B11" s="11"/>
      <c r="C11" s="13"/>
      <c r="D11" s="13"/>
      <c r="E11" s="13"/>
      <c r="F11" s="11"/>
      <c r="G11" s="11"/>
      <c r="H11" s="13"/>
      <c r="I11" s="14"/>
      <c r="J11" s="14"/>
      <c r="K11" s="13"/>
    </row>
    <row r="12" ht="36.0" customHeight="1">
      <c r="A12" s="6" t="s">
        <v>116</v>
      </c>
      <c r="B12" s="11"/>
      <c r="C12" s="13"/>
      <c r="D12" s="13"/>
      <c r="E12" s="13"/>
      <c r="F12" s="11"/>
      <c r="G12" s="11"/>
      <c r="H12" s="13"/>
      <c r="I12" s="14"/>
      <c r="J12" s="14"/>
      <c r="K12" s="13"/>
    </row>
    <row r="13" ht="36.0" customHeight="1">
      <c r="A13" s="6" t="s">
        <v>123</v>
      </c>
      <c r="B13" s="11"/>
      <c r="C13" s="13"/>
      <c r="D13" s="13"/>
      <c r="E13" s="13"/>
      <c r="F13" s="11"/>
      <c r="G13" s="11"/>
      <c r="H13" s="13"/>
      <c r="I13" s="14"/>
      <c r="J13" s="14"/>
      <c r="K13" s="13"/>
    </row>
    <row r="14" ht="36.0" customHeight="1">
      <c r="A14" s="6" t="s">
        <v>131</v>
      </c>
      <c r="B14" s="11"/>
      <c r="C14" s="13"/>
      <c r="D14" s="13"/>
      <c r="E14" s="13"/>
      <c r="F14" s="11"/>
      <c r="G14" s="11"/>
      <c r="H14" s="13"/>
      <c r="I14" s="14"/>
      <c r="J14" s="14"/>
      <c r="K14" s="13"/>
    </row>
    <row r="15" ht="36.0" customHeight="1">
      <c r="A15" s="6" t="s">
        <v>138</v>
      </c>
      <c r="B15" s="11"/>
      <c r="C15" s="13"/>
      <c r="D15" s="13"/>
      <c r="E15" s="13"/>
      <c r="F15" s="11"/>
      <c r="G15" s="11"/>
      <c r="H15" s="13"/>
      <c r="I15" s="14"/>
      <c r="J15" s="14"/>
      <c r="K15" s="13"/>
    </row>
    <row r="16" ht="36.0" customHeight="1">
      <c r="A16" s="6" t="s">
        <v>144</v>
      </c>
      <c r="B16" s="11"/>
      <c r="C16" s="13"/>
      <c r="D16" s="13"/>
      <c r="E16" s="13"/>
      <c r="F16" s="11"/>
      <c r="G16" s="11"/>
      <c r="H16" s="13"/>
      <c r="I16" s="14"/>
      <c r="J16" s="14"/>
      <c r="K16" s="13"/>
    </row>
    <row r="17" ht="36.0" customHeight="1">
      <c r="A17" s="6" t="s">
        <v>149</v>
      </c>
      <c r="B17" s="11"/>
      <c r="C17" s="13"/>
      <c r="D17" s="13"/>
      <c r="E17" s="13"/>
      <c r="F17" s="11"/>
      <c r="G17" s="11"/>
      <c r="H17" s="13"/>
      <c r="I17" s="14"/>
      <c r="J17" s="14"/>
      <c r="K17" s="13"/>
    </row>
    <row r="18" ht="36.0" customHeight="1">
      <c r="A18" s="6" t="s">
        <v>155</v>
      </c>
      <c r="B18" s="11"/>
      <c r="C18" s="13"/>
      <c r="D18" s="13"/>
      <c r="E18" s="13"/>
      <c r="F18" s="11"/>
      <c r="G18" s="11"/>
      <c r="H18" s="13"/>
      <c r="I18" s="14"/>
      <c r="J18" s="14"/>
      <c r="K18" s="13"/>
    </row>
    <row r="19" ht="36.0" customHeight="1">
      <c r="A19" s="6" t="s">
        <v>165</v>
      </c>
      <c r="B19" s="11"/>
      <c r="C19" s="13"/>
      <c r="D19" s="13"/>
      <c r="E19" s="13"/>
      <c r="F19" s="11"/>
      <c r="G19" s="11"/>
      <c r="H19" s="13"/>
      <c r="I19" s="14"/>
      <c r="J19" s="14"/>
      <c r="K19" s="13"/>
    </row>
    <row r="20" ht="36.0" customHeight="1">
      <c r="A20" s="6" t="s">
        <v>171</v>
      </c>
      <c r="B20" s="11"/>
      <c r="C20" s="13"/>
      <c r="D20" s="13"/>
      <c r="E20" s="13"/>
      <c r="F20" s="11"/>
      <c r="G20" s="11"/>
      <c r="H20" s="13"/>
      <c r="I20" s="14"/>
      <c r="J20" s="14"/>
      <c r="K20" s="13"/>
    </row>
    <row r="21" ht="36.0" customHeight="1">
      <c r="A21" s="6" t="s">
        <v>178</v>
      </c>
      <c r="B21" s="11"/>
      <c r="C21" s="13"/>
      <c r="D21" s="13"/>
      <c r="E21" s="13"/>
      <c r="F21" s="11"/>
      <c r="G21" s="11"/>
      <c r="H21" s="13"/>
      <c r="I21" s="14"/>
      <c r="J21" s="14"/>
      <c r="K21" s="13"/>
    </row>
    <row r="22" ht="36.0" customHeight="1">
      <c r="A22" s="6" t="s">
        <v>183</v>
      </c>
      <c r="B22" s="11"/>
      <c r="C22" s="13"/>
      <c r="D22" s="13"/>
      <c r="E22" s="13"/>
      <c r="F22" s="11"/>
      <c r="G22" s="11"/>
      <c r="H22" s="13"/>
      <c r="I22" s="14"/>
      <c r="J22" s="14"/>
      <c r="K22" s="13"/>
    </row>
    <row r="23" ht="36.0" customHeight="1">
      <c r="A23" s="6" t="s">
        <v>189</v>
      </c>
      <c r="B23" s="11"/>
      <c r="C23" s="13"/>
      <c r="D23" s="13"/>
      <c r="E23" s="13"/>
      <c r="F23" s="11"/>
      <c r="G23" s="11"/>
      <c r="H23" s="13"/>
      <c r="I23" s="14"/>
      <c r="J23" s="14"/>
      <c r="K23" s="13"/>
    </row>
    <row r="24" ht="36.0" customHeight="1">
      <c r="A24" s="6" t="s">
        <v>193</v>
      </c>
      <c r="B24" s="11"/>
      <c r="C24" s="13"/>
      <c r="D24" s="13"/>
      <c r="E24" s="13"/>
      <c r="F24" s="11"/>
      <c r="G24" s="11"/>
      <c r="H24" s="13"/>
      <c r="I24" s="14"/>
      <c r="J24" s="14"/>
      <c r="K24" s="13"/>
    </row>
    <row r="25" ht="36.0" customHeight="1">
      <c r="A25" s="6" t="s">
        <v>196</v>
      </c>
      <c r="B25" s="11"/>
      <c r="C25" s="13"/>
      <c r="D25" s="13"/>
      <c r="E25" s="13"/>
      <c r="F25" s="11"/>
      <c r="G25" s="11"/>
      <c r="H25" s="13"/>
      <c r="I25" s="14"/>
      <c r="J25" s="14"/>
      <c r="K25" s="13"/>
    </row>
    <row r="26" ht="36.0" customHeight="1">
      <c r="A26" s="6" t="s">
        <v>197</v>
      </c>
      <c r="B26" s="11"/>
      <c r="C26" s="13"/>
      <c r="D26" s="13"/>
      <c r="E26" s="13"/>
      <c r="F26" s="11"/>
      <c r="G26" s="11"/>
      <c r="H26" s="13"/>
      <c r="I26" s="14"/>
      <c r="J26" s="14"/>
      <c r="K26" s="13"/>
    </row>
    <row r="27" ht="36.0" customHeight="1">
      <c r="A27" s="6" t="s">
        <v>198</v>
      </c>
      <c r="B27" s="11"/>
      <c r="C27" s="13"/>
      <c r="D27" s="13"/>
      <c r="E27" s="13"/>
      <c r="F27" s="11"/>
      <c r="G27" s="11"/>
      <c r="H27" s="13"/>
      <c r="I27" s="14"/>
      <c r="J27" s="14"/>
      <c r="K27" s="13"/>
    </row>
    <row r="28" ht="36.0" customHeight="1">
      <c r="A28" s="6" t="s">
        <v>199</v>
      </c>
      <c r="B28" s="11"/>
      <c r="C28" s="13"/>
      <c r="D28" s="13"/>
      <c r="E28" s="13"/>
      <c r="F28" s="11"/>
      <c r="G28" s="11"/>
      <c r="H28" s="13"/>
      <c r="I28" s="14"/>
      <c r="J28" s="14"/>
      <c r="K28" s="13"/>
    </row>
    <row r="29" ht="36.0" customHeight="1">
      <c r="A29" s="6" t="s">
        <v>204</v>
      </c>
      <c r="B29" s="11"/>
      <c r="C29" s="13"/>
      <c r="D29" s="13"/>
      <c r="E29" s="13"/>
      <c r="F29" s="11"/>
      <c r="G29" s="11"/>
      <c r="H29" s="13"/>
      <c r="I29" s="14"/>
      <c r="J29" s="14"/>
      <c r="K29" s="13"/>
    </row>
    <row r="30" ht="36.0" customHeight="1">
      <c r="A30" s="6" t="s">
        <v>211</v>
      </c>
      <c r="B30" s="11"/>
      <c r="C30" s="13"/>
      <c r="D30" s="13"/>
      <c r="E30" s="13"/>
      <c r="F30" s="11"/>
      <c r="G30" s="11"/>
      <c r="H30" s="13"/>
      <c r="I30" s="14"/>
      <c r="J30" s="14"/>
      <c r="K30" s="13"/>
    </row>
    <row r="31" ht="36.0" customHeight="1">
      <c r="A31" s="6" t="s">
        <v>216</v>
      </c>
      <c r="B31" s="11"/>
      <c r="C31" s="13"/>
      <c r="D31" s="13"/>
      <c r="E31" s="13"/>
      <c r="F31" s="11"/>
      <c r="G31" s="11"/>
      <c r="H31" s="13"/>
      <c r="I31" s="14"/>
      <c r="J31" s="14"/>
      <c r="K31" s="1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Caso - Elige un ID de la hoja Casos." sqref="B2:B31">
      <formula1>Casos!$A$2:$A$56</formula1>
    </dataValidation>
    <dataValidation type="list" allowBlank="1" showInputMessage="1" showErrorMessage="1" prompt="Responsable - Elige un valor de la lista." sqref="H2:H31">
      <formula1>"Renato Carreño,Camilo Rojas,Jorge Berroeta"</formula1>
    </dataValidation>
    <dataValidation type="list" allowBlank="1" showInputMessage="1" showErrorMessage="1" prompt="Severidad - Elige un valor de la lista." sqref="F2:F31">
      <formula1>"Crítica,Alta,Media,Baja"</formula1>
    </dataValidation>
    <dataValidation type="list" allowBlank="1" showInputMessage="1" showErrorMessage="1" prompt="Estado - Elige un valor de la lista." sqref="G2:G31">
      <formula1>"Abierto,En corrección,Corregido,Cerrado"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4" width="15.0"/>
    <col customWidth="1" min="5" max="5" width="30.0"/>
    <col customWidth="1" min="6" max="9" width="12.0"/>
    <col customWidth="1" min="10" max="10" width="14.0"/>
    <col customWidth="1" min="11" max="11" width="40.0"/>
    <col customWidth="1" min="12" max="26" width="8.71"/>
  </cols>
  <sheetData>
    <row r="1" ht="31.5" customHeight="1">
      <c r="A1" s="5" t="s">
        <v>23</v>
      </c>
      <c r="B1" s="5" t="s">
        <v>239</v>
      </c>
      <c r="C1" s="5" t="s">
        <v>240</v>
      </c>
      <c r="D1" s="5" t="s">
        <v>242</v>
      </c>
      <c r="E1" s="5" t="s">
        <v>244</v>
      </c>
      <c r="F1" s="5" t="s">
        <v>245</v>
      </c>
      <c r="G1" s="5" t="s">
        <v>246</v>
      </c>
      <c r="H1" s="5" t="s">
        <v>251</v>
      </c>
      <c r="I1" s="5" t="s">
        <v>254</v>
      </c>
      <c r="J1" s="5" t="s">
        <v>255</v>
      </c>
      <c r="K1" s="5" t="s">
        <v>256</v>
      </c>
    </row>
    <row r="2" ht="30.0" customHeight="1">
      <c r="A2" s="15" t="s">
        <v>39</v>
      </c>
      <c r="B2" s="15" t="s">
        <v>261</v>
      </c>
      <c r="C2" s="16"/>
      <c r="D2" s="16"/>
      <c r="E2" s="17"/>
      <c r="F2" s="15">
        <f t="shared" ref="F2:F4" si="1">G2+H2</f>
        <v>0</v>
      </c>
      <c r="G2" s="15">
        <f>COUNTIFS(Casos!$H$2:$H$56,$A2,Casos!$I$2:$I$56,"Aprobado")</f>
        <v>0</v>
      </c>
      <c r="H2" s="15">
        <f>COUNTIFS(Casos!$H$2:$H$56,$A2,Casos!$I$2:$I$56,"Fallido")</f>
        <v>0</v>
      </c>
      <c r="I2" s="15">
        <f>COUNTIFS(Casos!$H$2:$H$56,$A2,Casos!$I$2:$I$56,"Bloqueado")</f>
        <v>0</v>
      </c>
      <c r="J2" s="18" t="str">
        <f t="shared" ref="J2:J4" si="2">IF(F2=0,"",G2/F2)</f>
        <v/>
      </c>
      <c r="K2" s="17"/>
    </row>
    <row r="3" ht="30.0" customHeight="1">
      <c r="A3" s="15" t="s">
        <v>109</v>
      </c>
      <c r="B3" s="15" t="s">
        <v>335</v>
      </c>
      <c r="C3" s="16"/>
      <c r="D3" s="16"/>
      <c r="E3" s="17"/>
      <c r="F3" s="15">
        <f t="shared" si="1"/>
        <v>0</v>
      </c>
      <c r="G3" s="15">
        <f>COUNTIFS(Casos!$H$2:$H$56,$A3,Casos!$I$2:$I$56,"Aprobado")</f>
        <v>0</v>
      </c>
      <c r="H3" s="15">
        <f>COUNTIFS(Casos!$H$2:$H$56,$A3,Casos!$I$2:$I$56,"Fallido")</f>
        <v>0</v>
      </c>
      <c r="I3" s="15">
        <f>COUNTIFS(Casos!$H$2:$H$56,$A3,Casos!$I$2:$I$56,"Bloqueado")</f>
        <v>0</v>
      </c>
      <c r="J3" s="18" t="str">
        <f t="shared" si="2"/>
        <v/>
      </c>
      <c r="K3" s="17"/>
    </row>
    <row r="4" ht="30.0" customHeight="1">
      <c r="A4" s="15" t="s">
        <v>324</v>
      </c>
      <c r="B4" s="15" t="s">
        <v>360</v>
      </c>
      <c r="C4" s="16"/>
      <c r="D4" s="16"/>
      <c r="E4" s="17"/>
      <c r="F4" s="15">
        <f t="shared" si="1"/>
        <v>0</v>
      </c>
      <c r="G4" s="15">
        <f>COUNTIFS(Casos!$H$2:$H$56,$A4,Casos!$I$2:$I$56,"Aprobado")</f>
        <v>0</v>
      </c>
      <c r="H4" s="15">
        <f>COUNTIFS(Casos!$H$2:$H$56,$A4,Casos!$I$2:$I$56,"Fallido")</f>
        <v>0</v>
      </c>
      <c r="I4" s="15">
        <f>COUNTIFS(Casos!$H$2:$H$56,$A4,Casos!$I$2:$I$56,"Bloqueado")</f>
        <v>0</v>
      </c>
      <c r="J4" s="18" t="str">
        <f t="shared" si="2"/>
        <v/>
      </c>
      <c r="K4" s="17"/>
    </row>
    <row r="6">
      <c r="A6" s="19" t="s">
        <v>361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2026-10-26T11:17:04Z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