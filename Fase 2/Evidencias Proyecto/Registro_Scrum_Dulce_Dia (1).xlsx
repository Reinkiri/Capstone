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Product Backlog" sheetId="2" state="visible" r:id="rId4"/>
    <sheet name="Sprint Backlog" sheetId="3" state="visible" r:id="rId5"/>
    <sheet name="Reuniones" sheetId="4" state="visible" r:id="rId6"/>
    <sheet name="Avance" sheetId="5" state="visible" r:id="rId7"/>
  </sheets>
  <definedNames>
    <definedName function="false" hidden="true" localSheetId="1" name="_xlnm._FilterDatabase" vbProcedure="false">'Product Backlog'!$A$1:$I$32</definedName>
    <definedName function="false" hidden="true" localSheetId="3" name="_xlnm._FilterDatabase" vbProcedure="false">Reuniones!$A$1:$K$36</definedName>
    <definedName function="false" hidden="true" localSheetId="2" name="_xlnm._FilterDatabase" vbProcedure="false">'Sprint Backlog'!$A$1:$I$60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<sst xmlns="http://schemas.openxmlformats.org/spreadsheetml/2006/main" count="697" uniqueCount="337">
  <si>
    <t xml:space="preserve">Registro Scrum — Dulce Día</t>
  </si>
  <si>
    <t xml:space="preserve">Propósito</t>
  </si>
  <si>
    <t xml:space="preserve">Mantener actualizados el Product Backlog, el Sprint Backlog y el registro de reuniones del proyecto, y calcular automáticamente el avance de cada sprint.</t>
  </si>
  <si>
    <t xml:space="preserve">Importante</t>
  </si>
  <si>
    <t xml:space="preserve">Los estados que aparecen al comienzo (Hecho, En curso, Pendiente, Por hacer) son SUGERIDOS a partir de la evidencia disponible. El equipo debe confirmarlos o corregirlos. Las horas reales, las fechas y las reuniones realizadas parten vacías o en “No”: se completan con lo que de verdad ocurra.</t>
  </si>
  <si>
    <t xml:space="preserve">Celdas que se completan</t>
  </si>
  <si>
    <t xml:space="preserve">Las de fondo amarillo y letra azul: Product Backlog (prioridad, puntos, sprint, estado), Sprint Backlog (responsable, horas estimadas, estado, horas reales, fecha de cierre) y Reuniones (de Realizada a Acta). Todo lo demás se calcula solo. Las fechas previstas de las reuniones se calcularon desde la semana 1 (10/08/2026) y deben ajustarse a la realidad.</t>
  </si>
  <si>
    <t xml:space="preserve">Al cerrar cada sprint</t>
  </si>
  <si>
    <t xml:space="preserve">1) En Sprint Backlog, actualizar el estado y las horas reales de cada tarea.  2) En Product Backlog, marcar como Hecho solo los ítems que cumplen la Definición de Hecho.  3) En Reuniones, registrar las reuniones realizadas, con su fecha, asistentes y ruta del acta en Git.  4) Revisar la hoja Avance (velocidad, quemado y horas) y comentarlo en la retrospectiva.</t>
  </si>
  <si>
    <t xml:space="preserve">Ítems fuera del sprint</t>
  </si>
  <si>
    <t xml:space="preserve">Los ítems con sprint “—” no están comprometidos en esta entrega. Si se incorporan, escribir el número de sprint en la columna Sprint.</t>
  </si>
  <si>
    <t xml:space="preserve">Hojas</t>
  </si>
  <si>
    <t xml:space="preserve">Product Backlog · Sprint Backlog · Reuniones · Avance (indicadores y gráficos).</t>
  </si>
  <si>
    <t xml:space="preserve">ID</t>
  </si>
  <si>
    <t xml:space="preserve">Tipo</t>
  </si>
  <si>
    <t xml:space="preserve">Ítem</t>
  </si>
  <si>
    <t xml:space="preserve">Origen</t>
  </si>
  <si>
    <t xml:space="preserve">Prioridad</t>
  </si>
  <si>
    <t xml:space="preserve">Puntos</t>
  </si>
  <si>
    <t xml:space="preserve">Sprint</t>
  </si>
  <si>
    <t xml:space="preserve">Estado</t>
  </si>
  <si>
    <t xml:space="preserve">Criterios de aceptación</t>
  </si>
  <si>
    <t xml:space="preserve">PB-01</t>
  </si>
  <si>
    <t xml:space="preserve">Habilitante</t>
  </si>
  <si>
    <t xml:space="preserve">Configurar el backend (API REST), la base de datos MySQL y el despliegue inicial en Railway.</t>
  </si>
  <si>
    <t xml:space="preserve">RNF-02, RNF-07</t>
  </si>
  <si>
    <t xml:space="preserve">Debe</t>
  </si>
  <si>
    <t xml:space="preserve">Hecho</t>
  </si>
  <si>
    <t xml:space="preserve">La API responde desde Railway y la app se conecta a la base de datos.</t>
  </si>
  <si>
    <t xml:space="preserve">PB-02</t>
  </si>
  <si>
    <t xml:space="preserve">Historia de usuario</t>
  </si>
  <si>
    <t xml:space="preserve">Como personal de atención, quiero iniciar sesión con mi rol para acceder solo a las funciones que me corresponden.</t>
  </si>
  <si>
    <t xml:space="preserve">HU-08 · RF-10</t>
  </si>
  <si>
    <t xml:space="preserve">Credenciales válidas e inválidas se manejan; solo se ven las funciones del rol.</t>
  </si>
  <si>
    <t xml:space="preserve">PB-03</t>
  </si>
  <si>
    <t xml:space="preserve">Como usuario interno, quiero consultar el catálogo por categorías (tortas, tartas y pastelitos) para elegir productos.</t>
  </si>
  <si>
    <t xml:space="preserve">HU-01 · RF-01</t>
  </si>
  <si>
    <t xml:space="preserve">El catálogo muestra nombre, tamaños y precio desde, por categoría.</t>
  </si>
  <si>
    <t xml:space="preserve">PB-04</t>
  </si>
  <si>
    <t xml:space="preserve">Mejora técnica</t>
  </si>
  <si>
    <t xml:space="preserve">Agregar al modelo de datos las tablas de historial de estados y de abonos.</t>
  </si>
  <si>
    <t xml:space="preserve">RF-06 (brecha del modelo)</t>
  </si>
  <si>
    <t xml:space="preserve">Debería</t>
  </si>
  <si>
    <t xml:space="preserve">Pendiente</t>
  </si>
  <si>
    <t xml:space="preserve">Cada cambio de estado y cada abono queda registrado con fecha, hora y usuario.</t>
  </si>
  <si>
    <t xml:space="preserve">PB-05</t>
  </si>
  <si>
    <t xml:space="preserve">Como personal de atención, quiero registrar un pedido con el catálogo unificado para centralizar la información.</t>
  </si>
  <si>
    <t xml:space="preserve">El pedido se guarda con código único, estado Pendiente y fecha válida; aparece en la agenda.</t>
  </si>
  <si>
    <t xml:space="preserve">PB-06</t>
  </si>
  <si>
    <t xml:space="preserve">Como personal de atención, quiero ver, editar y eliminar pedidos en una agenda para mantener la información al día.</t>
  </si>
  <si>
    <t xml:space="preserve">HU-01 · RF-01, RF-06</t>
  </si>
  <si>
    <t xml:space="preserve">El calendario marca los días con pedidos; la edición recalcula el precio; eliminar pide confirmación.</t>
  </si>
  <si>
    <t xml:space="preserve">PB-07</t>
  </si>
  <si>
    <t xml:space="preserve">Como personal de producción, quiero ver los pedidos pendientes y su detalle para planificar la elaboración.</t>
  </si>
  <si>
    <t xml:space="preserve">HU-02 · RF-05</t>
  </si>
  <si>
    <t xml:space="preserve">Producción ve los pedidos pendientes ordenados por fecha con su detalle completo.</t>
  </si>
  <si>
    <t xml:space="preserve">PB-08</t>
  </si>
  <si>
    <t xml:space="preserve">Como personal de producción, quiero recibir una notificación push de cada pedido nuevo para enterarme sin depender de WhatsApp.</t>
  </si>
  <si>
    <t xml:space="preserve">La notificación llega en menos de un minuto con producto y fecha.</t>
  </si>
  <si>
    <t xml:space="preserve">PB-09</t>
  </si>
  <si>
    <t xml:space="preserve">Como usuario del sistema, quiero asignar y actualizar el estado del pedido (Pendiente, Pagado, Entregado) para conocer su situación.</t>
  </si>
  <si>
    <t xml:space="preserve">HU-03 · RF-02</t>
  </si>
  <si>
    <t xml:space="preserve">En curso</t>
  </si>
  <si>
    <t xml:space="preserve">Solo se permiten los tres estados; cada cambio queda registrado con fecha y hora.</t>
  </si>
  <si>
    <t xml:space="preserve">PB-10</t>
  </si>
  <si>
    <t xml:space="preserve">Como personal de atención, quiero registrar abonos y ver el saldo pendiente para controlar los pagos.</t>
  </si>
  <si>
    <t xml:space="preserve">HU-04 · RF-03</t>
  </si>
  <si>
    <t xml:space="preserve">El saldo se recalcula; se rechazan montos inválidos o mayores al saldo.</t>
  </si>
  <si>
    <t xml:space="preserve">PB-11</t>
  </si>
  <si>
    <t xml:space="preserve">Proteger el panel de administración con autenticación y control de acceso por rol.</t>
  </si>
  <si>
    <t xml:space="preserve">Hallazgo 1 · RNF-05</t>
  </si>
  <si>
    <t xml:space="preserve">Sin sesión no se accede al panel ni a los endpoints de modificación.</t>
  </si>
  <si>
    <t xml:space="preserve">PB-12</t>
  </si>
  <si>
    <t xml:space="preserve">Como administrador, quiero editar precios masivamente y bloquear días y cupos para mantener actualizado el negocio.</t>
  </si>
  <si>
    <t xml:space="preserve">HU-07 · RF-11 · RF-01</t>
  </si>
  <si>
    <t xml:space="preserve">Los cambios de precios persisten; las fechas bloqueadas no admiten pedidos.</t>
  </si>
  <si>
    <t xml:space="preserve">PB-13</t>
  </si>
  <si>
    <t xml:space="preserve">Como administrador, quiero crear, editar y eliminar productos del catálogo.</t>
  </si>
  <si>
    <t xml:space="preserve">HU-07 · RF-11</t>
  </si>
  <si>
    <t xml:space="preserve">Los cambios se reflejan en la app y en el portal; se validan los datos del producto.</t>
  </si>
  <si>
    <t xml:space="preserve">PB-14</t>
  </si>
  <si>
    <t xml:space="preserve">Como cliente, quiero consultar el catálogo y encargar o personalizar mi pedido desde el portal web, a cualquier hora.</t>
  </si>
  <si>
    <t xml:space="preserve">HU-09 · RF-08</t>
  </si>
  <si>
    <t xml:space="preserve">El pedido web llega a la base central, calcula el total y se notifica a producción.</t>
  </si>
  <si>
    <t xml:space="preserve">PB-15</t>
  </si>
  <si>
    <t xml:space="preserve">Validar los datos de entrada, en especial los precios no numéricos, antes de guardar.</t>
  </si>
  <si>
    <t xml:space="preserve">Hallazgo 2 · RF-11</t>
  </si>
  <si>
    <t xml:space="preserve">Un valor no numérico bloquea el guardado e indica el campo con error.</t>
  </si>
  <si>
    <t xml:space="preserve">PB-16</t>
  </si>
  <si>
    <t xml:space="preserve">Como personal de atención, quiero generar un comprobante y enviarlo por WhatsApp para dejar constancia al cliente.</t>
  </si>
  <si>
    <t xml:space="preserve">HU-05 · RF-04</t>
  </si>
  <si>
    <t xml:space="preserve">El comprobante incluye detalle, total, abonos y saldo y abre WhatsApp con el mensaje listo.</t>
  </si>
  <si>
    <t xml:space="preserve">PB-17</t>
  </si>
  <si>
    <t xml:space="preserve">Como cliente, quiero conversar con un chatbot de IA que responda mis consultas sobre productos y pedidos.</t>
  </si>
  <si>
    <t xml:space="preserve">HU-10 · RF-09</t>
  </si>
  <si>
    <t xml:space="preserve">Responde las consultas frecuentes y no revela información interna.</t>
  </si>
  <si>
    <t xml:space="preserve">PB-18</t>
  </si>
  <si>
    <t xml:space="preserve">Como administrador, quiero consultar el historial de pagos para revisar los abonos realizados.</t>
  </si>
  <si>
    <t xml:space="preserve">HU-04 · RF-03, RF-06</t>
  </si>
  <si>
    <t xml:space="preserve">Lista pedido, monto, fecha y método de cada pago, con filtros.</t>
  </si>
  <si>
    <t xml:space="preserve">PB-19</t>
  </si>
  <si>
    <t xml:space="preserve">Mostrar mensajes de error visibles ante fallas de red o del servidor.</t>
  </si>
  <si>
    <t xml:space="preserve">Hallazgo 3</t>
  </si>
  <si>
    <t xml:space="preserve">Ante una falla se informa al usuario y no se pierden los datos digitados.</t>
  </si>
  <si>
    <t xml:space="preserve">PB-20</t>
  </si>
  <si>
    <t xml:space="preserve">Documentación</t>
  </si>
  <si>
    <t xml:space="preserve">Elaborar y entregar el informe de avance de la Fase 2 con sus evidencias.</t>
  </si>
  <si>
    <t xml:space="preserve">Plan de trabajo</t>
  </si>
  <si>
    <t xml:space="preserve">Informe entregado con evidencias coherentes con el estado real.</t>
  </si>
  <si>
    <t xml:space="preserve">PB-21</t>
  </si>
  <si>
    <t xml:space="preserve">Como cliente, quiero recibir recomendaciones de productos del chatbot según lo que necesito.</t>
  </si>
  <si>
    <t xml:space="preserve">Solo se recomiendan productos existentes con sus tamaños y precios vigentes.</t>
  </si>
  <si>
    <t xml:space="preserve">PB-22</t>
  </si>
  <si>
    <t xml:space="preserve">Pruebas</t>
  </si>
  <si>
    <t xml:space="preserve">Reemplazar la prueba de ejemplo por pruebas automatizadas de pedidos, abonos y precios.</t>
  </si>
  <si>
    <t xml:space="preserve">Hallazgo 8 · RNF-07</t>
  </si>
  <si>
    <t xml:space="preserve">La suite se ejecuta en verde y cubre al menos el 60% de la lógica crítica.</t>
  </si>
  <si>
    <t xml:space="preserve">PB-23</t>
  </si>
  <si>
    <t xml:space="preserve">Ejecutar el Plan de Pruebas (ciclos 1 y 2), registrar los defectos y corregirlos.</t>
  </si>
  <si>
    <t xml:space="preserve">Plan de Pruebas</t>
  </si>
  <si>
    <t xml:space="preserve">Casos de prioridad alta ejecutados; sin defectos críticos ni altos abiertos.</t>
  </si>
  <si>
    <t xml:space="preserve">PB-24</t>
  </si>
  <si>
    <t xml:space="preserve">Desplegar la solución en producción y ejecutar la prueba de humo.</t>
  </si>
  <si>
    <t xml:space="preserve">Los cuatro escenarios críticos de la prueba de humo aprueban.</t>
  </si>
  <si>
    <t xml:space="preserve">PB-25</t>
  </si>
  <si>
    <t xml:space="preserve">Como administrador, quiero ver reportes de ventas y proyecciones de stock para planificar la producción.</t>
  </si>
  <si>
    <t xml:space="preserve">HU-06 · RF-07, RF-12</t>
  </si>
  <si>
    <t xml:space="preserve">Las métricas coinciden con los pedidos del rango consultado.</t>
  </si>
  <si>
    <t xml:space="preserve">PB-26</t>
  </si>
  <si>
    <t xml:space="preserve">Como administrador, quiero exportar los reportes para compartirlos.</t>
  </si>
  <si>
    <t xml:space="preserve">HU-06 · RF-12</t>
  </si>
  <si>
    <t xml:space="preserve">Podría</t>
  </si>
  <si>
    <t xml:space="preserve">El archivo exportado contiene los mismos datos que se muestran.</t>
  </si>
  <si>
    <t xml:space="preserve">PB-27</t>
  </si>
  <si>
    <t xml:space="preserve">Como administrador, quiero configurar el chatbot sin modificar el código.</t>
  </si>
  <si>
    <t xml:space="preserve">RF-09</t>
  </si>
  <si>
    <t xml:space="preserve">Los cambios de configuración se aplican en el portal.</t>
  </si>
  <si>
    <t xml:space="preserve">PB-28</t>
  </si>
  <si>
    <t xml:space="preserve">Realizar las sesiones de aceptación con Dulce Día y obtener el acta de validación.</t>
  </si>
  <si>
    <t xml:space="preserve">El cliente valida los escenarios y firma el acta de aceptación.</t>
  </si>
  <si>
    <t xml:space="preserve">PB-29</t>
  </si>
  <si>
    <t xml:space="preserve">Completar la documentación técnica final, el informe y la presentación del proyecto.</t>
  </si>
  <si>
    <t xml:space="preserve">Informe final con formato de la asignatura y presentación lista.</t>
  </si>
  <si>
    <t xml:space="preserve">PB-30</t>
  </si>
  <si>
    <t xml:space="preserve">Como cliente, quiero consultar el estado de mi pedido en línea.</t>
  </si>
  <si>
    <t xml:space="preserve">RF-08 · RF-02</t>
  </si>
  <si>
    <t xml:space="preserve">—</t>
  </si>
  <si>
    <t xml:space="preserve">El cliente ve el estado y la fecha de entrega con su número de pedido.</t>
  </si>
  <si>
    <t xml:space="preserve">PB-31</t>
  </si>
  <si>
    <t xml:space="preserve">Como administrador del sistema, quiero dar de alta nuevas pastelerías sin cambiar el código.</t>
  </si>
  <si>
    <t xml:space="preserve">HU-11 · RNF-03, RNF-08</t>
  </si>
  <si>
    <t xml:space="preserve">Un nuevo cliente opera con sus datos separados de los de Dulce Día.</t>
  </si>
  <si>
    <t xml:space="preserve">ID tarea</t>
  </si>
  <si>
    <t xml:space="preserve">Tarea</t>
  </si>
  <si>
    <t xml:space="preserve">Responsable</t>
  </si>
  <si>
    <t xml:space="preserve">Horas estimadas</t>
  </si>
  <si>
    <t xml:space="preserve">Horas reales</t>
  </si>
  <si>
    <t xml:space="preserve">Fecha de cierre</t>
  </si>
  <si>
    <t xml:space="preserve">T-01</t>
  </si>
  <si>
    <t xml:space="preserve">Configurar el proyecto Spring Boot y la conexión a MySQL</t>
  </si>
  <si>
    <t xml:space="preserve">Jorge Berroeta</t>
  </si>
  <si>
    <t xml:space="preserve">T-02</t>
  </si>
  <si>
    <t xml:space="preserve">Desplegar la API y la base de datos en Railway</t>
  </si>
  <si>
    <t xml:space="preserve">T-03</t>
  </si>
  <si>
    <t xml:space="preserve">Implementar la autenticación y los roles en el backend</t>
  </si>
  <si>
    <t xml:space="preserve">T-04</t>
  </si>
  <si>
    <t xml:space="preserve">Construir la pantalla de inicio de sesión de la app</t>
  </si>
  <si>
    <t xml:space="preserve">T-05</t>
  </si>
  <si>
    <t xml:space="preserve">Documentar los usuarios y roles de prueba</t>
  </si>
  <si>
    <t xml:space="preserve">Renato Carreño</t>
  </si>
  <si>
    <t xml:space="preserve">T-06</t>
  </si>
  <si>
    <t xml:space="preserve">Exponer el endpoint del catálogo por categoría</t>
  </si>
  <si>
    <t xml:space="preserve">T-07</t>
  </si>
  <si>
    <t xml:space="preserve">Construir la vista de catálogo con pestañas</t>
  </si>
  <si>
    <t xml:space="preserve">Camilo Rojas</t>
  </si>
  <si>
    <t xml:space="preserve">T-08</t>
  </si>
  <si>
    <t xml:space="preserve">Diseñar y agregar las tablas de historial de estados y abonos</t>
  </si>
  <si>
    <t xml:space="preserve">Por hacer</t>
  </si>
  <si>
    <t xml:space="preserve">T-09</t>
  </si>
  <si>
    <t xml:space="preserve">Actualizar el diagrama entidad-relación y el de clases</t>
  </si>
  <si>
    <t xml:space="preserve">T-10</t>
  </si>
  <si>
    <t xml:space="preserve">Implementar el endpoint de creación de pedidos con validaciones</t>
  </si>
  <si>
    <t xml:space="preserve">T-11</t>
  </si>
  <si>
    <t xml:space="preserve">Construir el formulario de pedido en la app</t>
  </si>
  <si>
    <t xml:space="preserve">T-12</t>
  </si>
  <si>
    <t xml:space="preserve">Implementar la agenda con calendario y lista de pedidos del día</t>
  </si>
  <si>
    <t xml:space="preserve">T-13</t>
  </si>
  <si>
    <t xml:space="preserve">Implementar la edición y eliminación de pedidos (API y app)</t>
  </si>
  <si>
    <t xml:space="preserve">T-14</t>
  </si>
  <si>
    <t xml:space="preserve">Crear la vista de producción con pedidos pendientes y detalle</t>
  </si>
  <si>
    <t xml:space="preserve">T-15</t>
  </si>
  <si>
    <t xml:space="preserve">Restringir el acceso de la vista por rol</t>
  </si>
  <si>
    <t xml:space="preserve">T-16</t>
  </si>
  <si>
    <t xml:space="preserve">Integrar Firebase Cloud Messaging en el backend</t>
  </si>
  <si>
    <t xml:space="preserve">T-17</t>
  </si>
  <si>
    <t xml:space="preserve">Registrar el token del dispositivo al iniciar sesión</t>
  </si>
  <si>
    <t xml:space="preserve">T-18</t>
  </si>
  <si>
    <t xml:space="preserve">Probar la recepción de notificaciones en dispositivos reales</t>
  </si>
  <si>
    <t xml:space="preserve">T-19</t>
  </si>
  <si>
    <t xml:space="preserve">Implementar la actualización de estados con fecha, hora y usuario</t>
  </si>
  <si>
    <t xml:space="preserve">T-20</t>
  </si>
  <si>
    <t xml:space="preserve">Agregar el control de estado en la app</t>
  </si>
  <si>
    <t xml:space="preserve">T-21</t>
  </si>
  <si>
    <t xml:space="preserve">Implementar el registro de abonos y el cálculo del saldo</t>
  </si>
  <si>
    <t xml:space="preserve">T-22</t>
  </si>
  <si>
    <t xml:space="preserve">Construir la pantalla de abonos y saldo</t>
  </si>
  <si>
    <t xml:space="preserve">T-23</t>
  </si>
  <si>
    <t xml:space="preserve">Escribir pruebas de las reglas de abonos</t>
  </si>
  <si>
    <t xml:space="preserve">T-24</t>
  </si>
  <si>
    <t xml:space="preserve">Agregar autenticación y roles al panel web de administración</t>
  </si>
  <si>
    <t xml:space="preserve">T-25</t>
  </si>
  <si>
    <t xml:space="preserve">Construir la tabla de precios masivos y su endpoint de actualización</t>
  </si>
  <si>
    <t xml:space="preserve">T-26</t>
  </si>
  <si>
    <t xml:space="preserve">Construir la gestión de días bloqueados</t>
  </si>
  <si>
    <t xml:space="preserve">T-27</t>
  </si>
  <si>
    <t xml:space="preserve">Implementar la pantalla Nuevo Producto con foto, tamaños y precios</t>
  </si>
  <si>
    <t xml:space="preserve">T-28</t>
  </si>
  <si>
    <t xml:space="preserve">Implementar la edición y eliminación de productos</t>
  </si>
  <si>
    <t xml:space="preserve">T-29</t>
  </si>
  <si>
    <t xml:space="preserve">Construir el catálogo público del portal web</t>
  </si>
  <si>
    <t xml:space="preserve">T-30</t>
  </si>
  <si>
    <t xml:space="preserve">Construir el formulario de personalización y confirmación del pedido</t>
  </si>
  <si>
    <t xml:space="preserve">T-31</t>
  </si>
  <si>
    <t xml:space="preserve">Probar el flujo de pedido web de punta a punta</t>
  </si>
  <si>
    <t xml:space="preserve">T-32</t>
  </si>
  <si>
    <t xml:space="preserve">Validar precios y campos antes de guardar (app, web y API)</t>
  </si>
  <si>
    <t xml:space="preserve">T-33</t>
  </si>
  <si>
    <t xml:space="preserve">Generar el comprobante con detalle, total, abonos y saldo</t>
  </si>
  <si>
    <t xml:space="preserve">T-34</t>
  </si>
  <si>
    <t xml:space="preserve">Enviar el comprobante por WhatsApp desde la app</t>
  </si>
  <si>
    <t xml:space="preserve">T-35</t>
  </si>
  <si>
    <t xml:space="preserve">Probar el envío con teléfonos reales</t>
  </si>
  <si>
    <t xml:space="preserve">T-36</t>
  </si>
  <si>
    <t xml:space="preserve">Integrar el servicio de IA y definir el contexto del catálogo</t>
  </si>
  <si>
    <t xml:space="preserve">T-37</t>
  </si>
  <si>
    <t xml:space="preserve">Construir la ventana del chatbot en el portal</t>
  </si>
  <si>
    <t xml:space="preserve">T-38</t>
  </si>
  <si>
    <t xml:space="preserve">Probar consultas frecuentes y consultas fuera de dominio</t>
  </si>
  <si>
    <t xml:space="preserve">T-39</t>
  </si>
  <si>
    <t xml:space="preserve">Construir la vista de historial de pagos</t>
  </si>
  <si>
    <t xml:space="preserve">T-40</t>
  </si>
  <si>
    <t xml:space="preserve">Mostrar mensajes de error ante fallas de red en la app y el portal</t>
  </si>
  <si>
    <t xml:space="preserve">T-41</t>
  </si>
  <si>
    <t xml:space="preserve">Redactar el informe de avance y reunir las evidencias</t>
  </si>
  <si>
    <t xml:space="preserve">T-42</t>
  </si>
  <si>
    <t xml:space="preserve">Revisar el informe y las evidencias</t>
  </si>
  <si>
    <t xml:space="preserve">T-43</t>
  </si>
  <si>
    <t xml:space="preserve">Implementar recomendaciones basadas en el catálogo vigente</t>
  </si>
  <si>
    <t xml:space="preserve">T-44</t>
  </si>
  <si>
    <t xml:space="preserve">Verificar que solo se recomienden productos existentes</t>
  </si>
  <si>
    <t xml:space="preserve">T-45</t>
  </si>
  <si>
    <t xml:space="preserve">Crear pruebas unitarias de pedidos, abonos y precios</t>
  </si>
  <si>
    <t xml:space="preserve">T-46</t>
  </si>
  <si>
    <t xml:space="preserve">Crear la colección de Postman de la API</t>
  </si>
  <si>
    <t xml:space="preserve">T-47</t>
  </si>
  <si>
    <t xml:space="preserve">Ejecutar el ciclo 1 del Plan de Pruebas y registrar los resultados</t>
  </si>
  <si>
    <t xml:space="preserve">T-48</t>
  </si>
  <si>
    <t xml:space="preserve">Corregir los defectos y ejecutar la regresión (ciclo 2)</t>
  </si>
  <si>
    <t xml:space="preserve">T-49</t>
  </si>
  <si>
    <t xml:space="preserve">Guardar las evidencias de prueba en Git</t>
  </si>
  <si>
    <t xml:space="preserve">T-50</t>
  </si>
  <si>
    <t xml:space="preserve">Desplegar en producción y ejecutar la prueba de humo</t>
  </si>
  <si>
    <t xml:space="preserve">T-51</t>
  </si>
  <si>
    <t xml:space="preserve">Implementar reportes de ventas y proyección de stock</t>
  </si>
  <si>
    <t xml:space="preserve">T-52</t>
  </si>
  <si>
    <t xml:space="preserve">Verificar las cifras con consultas SQL</t>
  </si>
  <si>
    <t xml:space="preserve">T-53</t>
  </si>
  <si>
    <t xml:space="preserve">Implementar la exportación de reportes</t>
  </si>
  <si>
    <t xml:space="preserve">T-54</t>
  </si>
  <si>
    <t xml:space="preserve">Implementar la configuración del chatbot en el panel</t>
  </si>
  <si>
    <t xml:space="preserve">T-55</t>
  </si>
  <si>
    <t xml:space="preserve">Preparar los escenarios de aceptación</t>
  </si>
  <si>
    <t xml:space="preserve">T-56</t>
  </si>
  <si>
    <t xml:space="preserve">Realizar las sesiones con Dulce Día y registrar el acta</t>
  </si>
  <si>
    <t xml:space="preserve">T-57</t>
  </si>
  <si>
    <t xml:space="preserve">Redactar el informe final y la documentación técnica</t>
  </si>
  <si>
    <t xml:space="preserve">T-58</t>
  </si>
  <si>
    <t xml:space="preserve">Elaborar la presentación y el guion</t>
  </si>
  <si>
    <t xml:space="preserve">T-59</t>
  </si>
  <si>
    <t xml:space="preserve">Revisar y corregir el informe final</t>
  </si>
  <si>
    <t xml:space="preserve">N.º</t>
  </si>
  <si>
    <t xml:space="preserve">Tipo de reunión</t>
  </si>
  <si>
    <t xml:space="preserve">Semana prevista</t>
  </si>
  <si>
    <t xml:space="preserve">Fecha prevista</t>
  </si>
  <si>
    <t xml:space="preserve">Realizada</t>
  </si>
  <si>
    <t xml:space="preserve">Fecha realizada</t>
  </si>
  <si>
    <t xml:space="preserve">Duración (min)</t>
  </si>
  <si>
    <t xml:space="preserve">Asistentes</t>
  </si>
  <si>
    <t xml:space="preserve">Acuerdos principales</t>
  </si>
  <si>
    <t xml:space="preserve">Acta (ruta en Git)</t>
  </si>
  <si>
    <t xml:space="preserve">Planificación</t>
  </si>
  <si>
    <t xml:space="preserve">S5</t>
  </si>
  <si>
    <t xml:space="preserve">No</t>
  </si>
  <si>
    <t xml:space="preserve">Seguimiento 1</t>
  </si>
  <si>
    <t xml:space="preserve">Seguimiento 2</t>
  </si>
  <si>
    <t xml:space="preserve">S6</t>
  </si>
  <si>
    <t xml:space="preserve">Revisión</t>
  </si>
  <si>
    <t xml:space="preserve">Retrospectiva</t>
  </si>
  <si>
    <t xml:space="preserve">S7</t>
  </si>
  <si>
    <t xml:space="preserve">S8</t>
  </si>
  <si>
    <t xml:space="preserve">S9</t>
  </si>
  <si>
    <t xml:space="preserve">S10</t>
  </si>
  <si>
    <t xml:space="preserve">S11</t>
  </si>
  <si>
    <t xml:space="preserve">S12</t>
  </si>
  <si>
    <t xml:space="preserve">S13</t>
  </si>
  <si>
    <t xml:space="preserve">S14</t>
  </si>
  <si>
    <t xml:space="preserve">S15</t>
  </si>
  <si>
    <t xml:space="preserve">S16</t>
  </si>
  <si>
    <t xml:space="preserve">S17</t>
  </si>
  <si>
    <t xml:space="preserve">S18</t>
  </si>
  <si>
    <t xml:space="preserve">Avance Scrum — Dulce Día</t>
  </si>
  <si>
    <t xml:space="preserve">Todo se calcula automáticamente desde las hojas Product Backlog, Sprint Backlog y Reuniones. No hay que escribir nada en esta hoja.</t>
  </si>
  <si>
    <t xml:space="preserve">Semanas</t>
  </si>
  <si>
    <t xml:space="preserve">Puntos comprometidos</t>
  </si>
  <si>
    <t xml:space="preserve">Puntos hechos</t>
  </si>
  <si>
    <t xml:space="preserve">% cumplimiento</t>
  </si>
  <si>
    <t xml:space="preserve">Puntos pendientes (burndown)</t>
  </si>
  <si>
    <t xml:space="preserve">Tareas totales</t>
  </si>
  <si>
    <t xml:space="preserve">Tareas hechas</t>
  </si>
  <si>
    <t xml:space="preserve">S5 – S6 (07/09 – 20/09)</t>
  </si>
  <si>
    <t xml:space="preserve">S7 – S8 (21/09 – 04/10)</t>
  </si>
  <si>
    <t xml:space="preserve">S9 – S10 (05/10 – 18/10)</t>
  </si>
  <si>
    <t xml:space="preserve">S11 – S12 (19/10 – 01/11)</t>
  </si>
  <si>
    <t xml:space="preserve">S13 – S14 (02/11 – 15/11)</t>
  </si>
  <si>
    <t xml:space="preserve">S15 – S16 (16/11 – 29/11)</t>
  </si>
  <si>
    <t xml:space="preserve">S17 – S18 (30/11 – 13/12)</t>
  </si>
  <si>
    <t xml:space="preserve">Total</t>
  </si>
  <si>
    <t xml:space="preserve">Indicadores generales</t>
  </si>
  <si>
    <t xml:space="preserve">Ítems del Product Backlog</t>
  </si>
  <si>
    <t xml:space="preserve">Ítems hechos</t>
  </si>
  <si>
    <t xml:space="preserve">Avance de puntos comprometidos</t>
  </si>
  <si>
    <t xml:space="preserve">Reuniones Scrum previstas</t>
  </si>
  <si>
    <t xml:space="preserve">Reuniones realizadas</t>
  </si>
  <si>
    <t xml:space="preserve">% de reuniones realizadas</t>
  </si>
  <si>
    <t xml:space="preserve">Aporte por integrante (evidencia de equidad)</t>
  </si>
  <si>
    <t xml:space="preserve">Integrante</t>
  </si>
  <si>
    <t xml:space="preserve">Tareas asignadas</t>
  </si>
</sst>
</file>

<file path=xl/styles.xml><?xml version="1.0" encoding="utf-8"?>
<styleSheet xmlns="http://schemas.openxmlformats.org/spreadsheetml/2006/main">
  <numFmts count="6">
    <numFmt numFmtId="164" formatCode="General"/>
    <numFmt numFmtId="165" formatCode="\S0"/>
    <numFmt numFmtId="166" formatCode="dd/mm/yyyy"/>
    <numFmt numFmtId="167" formatCode="0%"/>
    <numFmt numFmtId="168" formatCode="0"/>
    <numFmt numFmtId="169"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864"/>
        <bgColor rgb="FF333333"/>
      </patternFill>
    </fill>
    <fill>
      <patternFill patternType="solid">
        <fgColor rgb="FFFFF2CC"/>
        <bgColor rgb="FFEDEDED"/>
      </patternFill>
    </fill>
    <fill>
      <patternFill patternType="solid">
        <fgColor rgb="FFD9E2F3"/>
        <bgColor rgb="FFD9D9D9"/>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5" fontId="8" fillId="3"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center" vertical="top" textRotation="0" wrapText="tru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7" fontId="5" fillId="4"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9" fontId="6"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EDEDED"/>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EDEDE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2CC"/>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A6A6A6"/>
      <rgbColor rgb="FF1F3864"/>
      <rgbColor rgb="FF70AD4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Puntos comprometidos y hechos por sprint</a:t>
            </a:r>
          </a:p>
        </c:rich>
      </c:tx>
      <c:overlay val="0"/>
      <c:spPr>
        <a:noFill/>
        <a:ln w="0">
          <a:noFill/>
        </a:ln>
      </c:spPr>
    </c:title>
    <c:autoTitleDeleted val="0"/>
    <c:plotArea>
      <c:barChart>
        <c:barDir val="col"/>
        <c:grouping val="clustered"/>
        <c:varyColors val="0"/>
        <c:ser>
          <c:idx val="0"/>
          <c:order val="0"/>
          <c:tx>
            <c:strRef>
              <c:f>Avance!C4</c:f>
              <c:strCache>
                <c:ptCount val="1"/>
                <c:pt idx="0">
                  <c:v>Puntos comprometidos</c:v>
                </c:pt>
              </c:strCache>
            </c:strRef>
          </c:tx>
          <c:spPr>
            <a:solidFill>
              <a:srgbClr val="1f3864"/>
            </a:solidFill>
            <a:ln w="0">
              <a:solidFill>
                <a:srgbClr val="1f386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Avance!$A$5:$A$11</c:f>
              <c:strCache>
                <c:ptCount val="7"/>
                <c:pt idx="0">
                  <c:v>S1</c:v>
                </c:pt>
                <c:pt idx="1">
                  <c:v>S2</c:v>
                </c:pt>
                <c:pt idx="2">
                  <c:v>S3</c:v>
                </c:pt>
                <c:pt idx="3">
                  <c:v>S4</c:v>
                </c:pt>
                <c:pt idx="4">
                  <c:v>S5</c:v>
                </c:pt>
                <c:pt idx="5">
                  <c:v>S6</c:v>
                </c:pt>
                <c:pt idx="6">
                  <c:v>S7</c:v>
                </c:pt>
              </c:strCache>
            </c:strRef>
          </c:cat>
          <c:val>
            <c:numRef>
              <c:f>Avance!$C$5:$C$11</c:f>
              <c:numCache>
                <c:formatCode>General</c:formatCode>
                <c:ptCount val="7"/>
                <c:pt idx="0">
                  <c:v>13</c:v>
                </c:pt>
                <c:pt idx="1">
                  <c:v>23</c:v>
                </c:pt>
                <c:pt idx="2">
                  <c:v>23</c:v>
                </c:pt>
                <c:pt idx="3">
                  <c:v>26</c:v>
                </c:pt>
                <c:pt idx="4">
                  <c:v>27</c:v>
                </c:pt>
                <c:pt idx="5">
                  <c:v>23</c:v>
                </c:pt>
                <c:pt idx="6">
                  <c:v>27</c:v>
                </c:pt>
              </c:numCache>
            </c:numRef>
          </c:val>
        </c:ser>
        <c:ser>
          <c:idx val="1"/>
          <c:order val="1"/>
          <c:tx>
            <c:strRef>
              <c:f>Avance!D4</c:f>
              <c:strCache>
                <c:ptCount val="1"/>
                <c:pt idx="0">
                  <c:v>Puntos hechos</c:v>
                </c:pt>
              </c:strCache>
            </c:strRef>
          </c:tx>
          <c:spPr>
            <a:solidFill>
              <a:srgbClr val="70ad47"/>
            </a:solidFill>
            <a:ln w="0">
              <a:solidFill>
                <a:srgbClr val="70ad4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Avance!$A$5:$A$11</c:f>
              <c:strCache>
                <c:ptCount val="7"/>
                <c:pt idx="0">
                  <c:v>S1</c:v>
                </c:pt>
                <c:pt idx="1">
                  <c:v>S2</c:v>
                </c:pt>
                <c:pt idx="2">
                  <c:v>S3</c:v>
                </c:pt>
                <c:pt idx="3">
                  <c:v>S4</c:v>
                </c:pt>
                <c:pt idx="4">
                  <c:v>S5</c:v>
                </c:pt>
                <c:pt idx="5">
                  <c:v>S6</c:v>
                </c:pt>
                <c:pt idx="6">
                  <c:v>S7</c:v>
                </c:pt>
              </c:strCache>
            </c:strRef>
          </c:cat>
          <c:val>
            <c:numRef>
              <c:f>Avance!$D$5:$D$11</c:f>
              <c:numCache>
                <c:formatCode>General</c:formatCode>
                <c:ptCount val="7"/>
                <c:pt idx="0">
                  <c:v>13</c:v>
                </c:pt>
                <c:pt idx="1">
                  <c:v>13</c:v>
                </c:pt>
                <c:pt idx="2">
                  <c:v>5</c:v>
                </c:pt>
                <c:pt idx="3">
                  <c:v>18</c:v>
                </c:pt>
                <c:pt idx="4">
                  <c:v>0</c:v>
                </c:pt>
                <c:pt idx="5">
                  <c:v>0</c:v>
                </c:pt>
                <c:pt idx="6">
                  <c:v>0</c:v>
                </c:pt>
              </c:numCache>
            </c:numRef>
          </c:val>
        </c:ser>
        <c:gapWidth val="150"/>
        <c:overlap val="0"/>
        <c:axId val="50316430"/>
        <c:axId val="59966894"/>
      </c:barChart>
      <c:catAx>
        <c:axId val="5031643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Sprint</a:t>
                </a:r>
              </a:p>
            </c:rich>
          </c:tx>
          <c:overlay val="0"/>
          <c:spPr>
            <a:noFill/>
            <a:ln w="0">
              <a:noFill/>
            </a:ln>
          </c:spPr>
        </c:title>
        <c:numFmt formatCode="\S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966894"/>
        <c:crosses val="autoZero"/>
        <c:auto val="1"/>
        <c:lblAlgn val="ctr"/>
        <c:lblOffset val="100"/>
        <c:noMultiLvlLbl val="0"/>
      </c:catAx>
      <c:valAx>
        <c:axId val="5996689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Puntos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31643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Quemado (puntos pendientes al cierre de cada sprint)</a:t>
            </a:r>
          </a:p>
        </c:rich>
      </c:tx>
      <c:overlay val="0"/>
      <c:spPr>
        <a:noFill/>
        <a:ln w="0">
          <a:noFill/>
        </a:ln>
      </c:spPr>
    </c:title>
    <c:autoTitleDeleted val="0"/>
    <c:plotArea>
      <c:lineChart>
        <c:grouping val="standard"/>
        <c:varyColors val="0"/>
        <c:ser>
          <c:idx val="0"/>
          <c:order val="0"/>
          <c:tx>
            <c:strRef>
              <c:f>Avance!F4</c:f>
              <c:strCache>
                <c:ptCount val="1"/>
                <c:pt idx="0">
                  <c:v>Puntos pendientes (burndown)</c:v>
                </c:pt>
              </c:strCache>
            </c:strRef>
          </c:tx>
          <c:spPr>
            <a:solidFill>
              <a:srgbClr val="c00000"/>
            </a:solidFill>
            <a:ln w="28440">
              <a:solidFill>
                <a:srgbClr val="c00000"/>
              </a:solidFill>
              <a:round/>
            </a:ln>
          </c:spPr>
          <c:marker>
            <c:symbol val="circle"/>
            <c:size val="5"/>
            <c:spPr>
              <a:solidFill>
                <a:srgbClr val="c000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Avance!$A$5:$A$11</c:f>
              <c:strCache>
                <c:ptCount val="7"/>
                <c:pt idx="0">
                  <c:v>S1</c:v>
                </c:pt>
                <c:pt idx="1">
                  <c:v>S2</c:v>
                </c:pt>
                <c:pt idx="2">
                  <c:v>S3</c:v>
                </c:pt>
                <c:pt idx="3">
                  <c:v>S4</c:v>
                </c:pt>
                <c:pt idx="4">
                  <c:v>S5</c:v>
                </c:pt>
                <c:pt idx="5">
                  <c:v>S6</c:v>
                </c:pt>
                <c:pt idx="6">
                  <c:v>S7</c:v>
                </c:pt>
              </c:strCache>
            </c:strRef>
          </c:cat>
          <c:val>
            <c:numRef>
              <c:f>Avance!$F$5:$F$11</c:f>
              <c:numCache>
                <c:formatCode>General</c:formatCode>
                <c:ptCount val="7"/>
                <c:pt idx="0">
                  <c:v>149</c:v>
                </c:pt>
                <c:pt idx="1">
                  <c:v>136</c:v>
                </c:pt>
                <c:pt idx="2">
                  <c:v>131</c:v>
                </c:pt>
                <c:pt idx="3">
                  <c:v>113</c:v>
                </c:pt>
                <c:pt idx="4">
                  <c:v>113</c:v>
                </c:pt>
                <c:pt idx="5">
                  <c:v>113</c:v>
                </c:pt>
                <c:pt idx="6">
                  <c:v>113</c:v>
                </c:pt>
              </c:numCache>
            </c:numRef>
          </c:val>
          <c:smooth val="1"/>
        </c:ser>
        <c:hiLowLines>
          <c:spPr>
            <a:ln w="0">
              <a:noFill/>
            </a:ln>
          </c:spPr>
        </c:hiLowLines>
        <c:marker val="1"/>
        <c:axId val="33360182"/>
        <c:axId val="1117666"/>
      </c:lineChart>
      <c:catAx>
        <c:axId val="333601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Sprint</a:t>
                </a:r>
              </a:p>
            </c:rich>
          </c:tx>
          <c:overlay val="0"/>
          <c:spPr>
            <a:noFill/>
            <a:ln w="0">
              <a:noFill/>
            </a:ln>
          </c:spPr>
        </c:title>
        <c:numFmt formatCode="\S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17666"/>
        <c:crosses val="autoZero"/>
        <c:auto val="1"/>
        <c:lblAlgn val="ctr"/>
        <c:lblOffset val="100"/>
        <c:noMultiLvlLbl val="0"/>
      </c:catAx>
      <c:valAx>
        <c:axId val="111766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Puntos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3601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160920</xdr:rowOff>
    </xdr:from>
    <xdr:to>
      <xdr:col>19</xdr:col>
      <xdr:colOff>507600</xdr:colOff>
      <xdr:row>17</xdr:row>
      <xdr:rowOff>153360</xdr:rowOff>
    </xdr:to>
    <xdr:graphicFrame>
      <xdr:nvGraphicFramePr>
        <xdr:cNvPr id="0" name="Chart 1"/>
        <xdr:cNvGraphicFramePr/>
      </xdr:nvGraphicFramePr>
      <xdr:xfrm>
        <a:off x="12946320" y="571680"/>
        <a:ext cx="53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20</xdr:row>
      <xdr:rowOff>160920</xdr:rowOff>
    </xdr:from>
    <xdr:to>
      <xdr:col>19</xdr:col>
      <xdr:colOff>507600</xdr:colOff>
      <xdr:row>35</xdr:row>
      <xdr:rowOff>153360</xdr:rowOff>
    </xdr:to>
    <xdr:graphicFrame>
      <xdr:nvGraphicFramePr>
        <xdr:cNvPr id="1" name="Chart 2"/>
        <xdr:cNvGraphicFramePr/>
      </xdr:nvGraphicFramePr>
      <xdr:xfrm>
        <a:off x="12946320" y="4210200"/>
        <a:ext cx="539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4"/>
  </cols>
  <sheetData>
    <row r="1" customFormat="false" ht="17.35" hidden="false" customHeight="false" outlineLevel="0" collapsed="false">
      <c r="A1" s="1" t="s">
        <v>0</v>
      </c>
    </row>
    <row r="3" customFormat="false" ht="45.75" hidden="false" customHeight="true" outlineLevel="0" collapsed="false">
      <c r="A3" s="2" t="s">
        <v>1</v>
      </c>
      <c r="B3" s="3" t="s">
        <v>2</v>
      </c>
    </row>
    <row r="4" customFormat="false" ht="61.5" hidden="false" customHeight="true" outlineLevel="0" collapsed="false">
      <c r="A4" s="2" t="s">
        <v>3</v>
      </c>
      <c r="B4" s="3" t="s">
        <v>4</v>
      </c>
    </row>
    <row r="5" customFormat="false" ht="61.5" hidden="false" customHeight="true" outlineLevel="0" collapsed="false">
      <c r="A5" s="2" t="s">
        <v>5</v>
      </c>
      <c r="B5" s="3" t="s">
        <v>6</v>
      </c>
    </row>
    <row r="6" customFormat="false" ht="61.5" hidden="false" customHeight="true" outlineLevel="0" collapsed="false">
      <c r="A6" s="2" t="s">
        <v>7</v>
      </c>
      <c r="B6" s="3" t="s">
        <v>8</v>
      </c>
    </row>
    <row r="7" customFormat="false" ht="45.75" hidden="false" customHeight="true" outlineLevel="0" collapsed="false">
      <c r="A7" s="2" t="s">
        <v>9</v>
      </c>
      <c r="B7" s="3" t="s">
        <v>10</v>
      </c>
    </row>
    <row r="8" customFormat="false" ht="30" hidden="false" customHeight="true" outlineLevel="0" collapsed="false">
      <c r="A8" s="2" t="s">
        <v>11</v>
      </c>
      <c r="B8" s="3"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58"/>
    <col collapsed="false" customWidth="true" hidden="false" outlineLevel="0" max="4" min="4" style="0" width="22"/>
    <col collapsed="false" customWidth="true" hidden="false" outlineLevel="0" max="5" min="5" style="0" width="11"/>
    <col collapsed="false" customWidth="true" hidden="false" outlineLevel="0" max="7" min="6" style="0" width="9"/>
    <col collapsed="false" customWidth="true" hidden="false" outlineLevel="0" max="8" min="8" style="0" width="13"/>
    <col collapsed="false" customWidth="true" hidden="false" outlineLevel="0" max="9" min="9" style="0" width="52"/>
  </cols>
  <sheetData>
    <row r="1" customFormat="false" ht="31.5" hidden="false" customHeight="true" outlineLevel="0" collapsed="false">
      <c r="A1" s="4" t="s">
        <v>13</v>
      </c>
      <c r="B1" s="4" t="s">
        <v>14</v>
      </c>
      <c r="C1" s="4" t="s">
        <v>15</v>
      </c>
      <c r="D1" s="4" t="s">
        <v>16</v>
      </c>
      <c r="E1" s="4" t="s">
        <v>17</v>
      </c>
      <c r="F1" s="4" t="s">
        <v>18</v>
      </c>
      <c r="G1" s="4" t="s">
        <v>19</v>
      </c>
      <c r="H1" s="4" t="s">
        <v>20</v>
      </c>
      <c r="I1" s="4" t="s">
        <v>21</v>
      </c>
    </row>
    <row r="2" customFormat="false" ht="43.5" hidden="false" customHeight="true" outlineLevel="0" collapsed="false">
      <c r="A2" s="5" t="s">
        <v>22</v>
      </c>
      <c r="B2" s="6" t="s">
        <v>23</v>
      </c>
      <c r="C2" s="6" t="s">
        <v>24</v>
      </c>
      <c r="D2" s="6" t="s">
        <v>25</v>
      </c>
      <c r="E2" s="7" t="s">
        <v>26</v>
      </c>
      <c r="F2" s="7" t="n">
        <v>5</v>
      </c>
      <c r="G2" s="8" t="n">
        <v>1</v>
      </c>
      <c r="H2" s="7" t="s">
        <v>27</v>
      </c>
      <c r="I2" s="6" t="s">
        <v>28</v>
      </c>
    </row>
    <row r="3" customFormat="false" ht="43.5" hidden="false" customHeight="true" outlineLevel="0" collapsed="false">
      <c r="A3" s="5" t="s">
        <v>29</v>
      </c>
      <c r="B3" s="6" t="s">
        <v>30</v>
      </c>
      <c r="C3" s="6" t="s">
        <v>31</v>
      </c>
      <c r="D3" s="6" t="s">
        <v>32</v>
      </c>
      <c r="E3" s="7" t="s">
        <v>26</v>
      </c>
      <c r="F3" s="7" t="n">
        <v>5</v>
      </c>
      <c r="G3" s="8" t="n">
        <v>1</v>
      </c>
      <c r="H3" s="7" t="s">
        <v>27</v>
      </c>
      <c r="I3" s="6" t="s">
        <v>33</v>
      </c>
    </row>
    <row r="4" customFormat="false" ht="43.5" hidden="false" customHeight="true" outlineLevel="0" collapsed="false">
      <c r="A4" s="5" t="s">
        <v>34</v>
      </c>
      <c r="B4" s="6" t="s">
        <v>30</v>
      </c>
      <c r="C4" s="6" t="s">
        <v>35</v>
      </c>
      <c r="D4" s="6" t="s">
        <v>36</v>
      </c>
      <c r="E4" s="7" t="s">
        <v>26</v>
      </c>
      <c r="F4" s="7" t="n">
        <v>3</v>
      </c>
      <c r="G4" s="8" t="n">
        <v>1</v>
      </c>
      <c r="H4" s="7" t="s">
        <v>27</v>
      </c>
      <c r="I4" s="6" t="s">
        <v>37</v>
      </c>
    </row>
    <row r="5" customFormat="false" ht="43.5" hidden="false" customHeight="true" outlineLevel="0" collapsed="false">
      <c r="A5" s="5" t="s">
        <v>38</v>
      </c>
      <c r="B5" s="6" t="s">
        <v>39</v>
      </c>
      <c r="C5" s="6" t="s">
        <v>40</v>
      </c>
      <c r="D5" s="6" t="s">
        <v>41</v>
      </c>
      <c r="E5" s="7" t="s">
        <v>42</v>
      </c>
      <c r="F5" s="7" t="n">
        <v>5</v>
      </c>
      <c r="G5" s="8" t="n">
        <v>2</v>
      </c>
      <c r="H5" s="7" t="s">
        <v>43</v>
      </c>
      <c r="I5" s="6" t="s">
        <v>44</v>
      </c>
    </row>
    <row r="6" customFormat="false" ht="43.5" hidden="false" customHeight="true" outlineLevel="0" collapsed="false">
      <c r="A6" s="5" t="s">
        <v>45</v>
      </c>
      <c r="B6" s="6" t="s">
        <v>30</v>
      </c>
      <c r="C6" s="6" t="s">
        <v>46</v>
      </c>
      <c r="D6" s="6" t="s">
        <v>36</v>
      </c>
      <c r="E6" s="7" t="s">
        <v>26</v>
      </c>
      <c r="F6" s="7" t="n">
        <v>8</v>
      </c>
      <c r="G6" s="8" t="n">
        <v>2</v>
      </c>
      <c r="H6" s="7" t="s">
        <v>27</v>
      </c>
      <c r="I6" s="6" t="s">
        <v>47</v>
      </c>
    </row>
    <row r="7" customFormat="false" ht="43.5" hidden="false" customHeight="true" outlineLevel="0" collapsed="false">
      <c r="A7" s="5" t="s">
        <v>48</v>
      </c>
      <c r="B7" s="6" t="s">
        <v>30</v>
      </c>
      <c r="C7" s="6" t="s">
        <v>49</v>
      </c>
      <c r="D7" s="6" t="s">
        <v>50</v>
      </c>
      <c r="E7" s="7" t="s">
        <v>26</v>
      </c>
      <c r="F7" s="7" t="n">
        <v>5</v>
      </c>
      <c r="G7" s="8" t="n">
        <v>2</v>
      </c>
      <c r="H7" s="7" t="s">
        <v>27</v>
      </c>
      <c r="I7" s="6" t="s">
        <v>51</v>
      </c>
    </row>
    <row r="8" customFormat="false" ht="43.5" hidden="false" customHeight="true" outlineLevel="0" collapsed="false">
      <c r="A8" s="5" t="s">
        <v>52</v>
      </c>
      <c r="B8" s="6" t="s">
        <v>30</v>
      </c>
      <c r="C8" s="6" t="s">
        <v>53</v>
      </c>
      <c r="D8" s="6" t="s">
        <v>54</v>
      </c>
      <c r="E8" s="7" t="s">
        <v>26</v>
      </c>
      <c r="F8" s="7" t="n">
        <v>5</v>
      </c>
      <c r="G8" s="8" t="n">
        <v>2</v>
      </c>
      <c r="H8" s="7" t="s">
        <v>43</v>
      </c>
      <c r="I8" s="6" t="s">
        <v>55</v>
      </c>
    </row>
    <row r="9" customFormat="false" ht="43.5" hidden="false" customHeight="true" outlineLevel="0" collapsed="false">
      <c r="A9" s="5" t="s">
        <v>56</v>
      </c>
      <c r="B9" s="6" t="s">
        <v>30</v>
      </c>
      <c r="C9" s="6" t="s">
        <v>57</v>
      </c>
      <c r="D9" s="6" t="s">
        <v>54</v>
      </c>
      <c r="E9" s="7" t="s">
        <v>26</v>
      </c>
      <c r="F9" s="7" t="n">
        <v>5</v>
      </c>
      <c r="G9" s="8" t="n">
        <v>3</v>
      </c>
      <c r="H9" s="7" t="s">
        <v>27</v>
      </c>
      <c r="I9" s="6" t="s">
        <v>58</v>
      </c>
    </row>
    <row r="10" customFormat="false" ht="43.5" hidden="false" customHeight="true" outlineLevel="0" collapsed="false">
      <c r="A10" s="5" t="s">
        <v>59</v>
      </c>
      <c r="B10" s="6" t="s">
        <v>30</v>
      </c>
      <c r="C10" s="6" t="s">
        <v>60</v>
      </c>
      <c r="D10" s="6" t="s">
        <v>61</v>
      </c>
      <c r="E10" s="7" t="s">
        <v>26</v>
      </c>
      <c r="F10" s="7" t="n">
        <v>5</v>
      </c>
      <c r="G10" s="8" t="n">
        <v>3</v>
      </c>
      <c r="H10" s="7" t="s">
        <v>62</v>
      </c>
      <c r="I10" s="6" t="s">
        <v>63</v>
      </c>
    </row>
    <row r="11" customFormat="false" ht="43.5" hidden="false" customHeight="true" outlineLevel="0" collapsed="false">
      <c r="A11" s="5" t="s">
        <v>64</v>
      </c>
      <c r="B11" s="6" t="s">
        <v>30</v>
      </c>
      <c r="C11" s="6" t="s">
        <v>65</v>
      </c>
      <c r="D11" s="6" t="s">
        <v>66</v>
      </c>
      <c r="E11" s="7" t="s">
        <v>26</v>
      </c>
      <c r="F11" s="7" t="n">
        <v>8</v>
      </c>
      <c r="G11" s="8" t="n">
        <v>3</v>
      </c>
      <c r="H11" s="7" t="s">
        <v>62</v>
      </c>
      <c r="I11" s="6" t="s">
        <v>67</v>
      </c>
    </row>
    <row r="12" customFormat="false" ht="43.5" hidden="false" customHeight="true" outlineLevel="0" collapsed="false">
      <c r="A12" s="5" t="s">
        <v>68</v>
      </c>
      <c r="B12" s="6" t="s">
        <v>39</v>
      </c>
      <c r="C12" s="6" t="s">
        <v>69</v>
      </c>
      <c r="D12" s="6" t="s">
        <v>70</v>
      </c>
      <c r="E12" s="7" t="s">
        <v>26</v>
      </c>
      <c r="F12" s="7" t="n">
        <v>5</v>
      </c>
      <c r="G12" s="8" t="n">
        <v>3</v>
      </c>
      <c r="H12" s="7" t="s">
        <v>43</v>
      </c>
      <c r="I12" s="6" t="s">
        <v>71</v>
      </c>
    </row>
    <row r="13" customFormat="false" ht="43.5" hidden="false" customHeight="true" outlineLevel="0" collapsed="false">
      <c r="A13" s="5" t="s">
        <v>72</v>
      </c>
      <c r="B13" s="6" t="s">
        <v>30</v>
      </c>
      <c r="C13" s="6" t="s">
        <v>73</v>
      </c>
      <c r="D13" s="6" t="s">
        <v>74</v>
      </c>
      <c r="E13" s="7" t="s">
        <v>26</v>
      </c>
      <c r="F13" s="7" t="n">
        <v>5</v>
      </c>
      <c r="G13" s="8" t="n">
        <v>4</v>
      </c>
      <c r="H13" s="7" t="s">
        <v>27</v>
      </c>
      <c r="I13" s="6" t="s">
        <v>75</v>
      </c>
    </row>
    <row r="14" customFormat="false" ht="43.5" hidden="false" customHeight="true" outlineLevel="0" collapsed="false">
      <c r="A14" s="5" t="s">
        <v>76</v>
      </c>
      <c r="B14" s="6" t="s">
        <v>30</v>
      </c>
      <c r="C14" s="6" t="s">
        <v>77</v>
      </c>
      <c r="D14" s="6" t="s">
        <v>78</v>
      </c>
      <c r="E14" s="7" t="s">
        <v>26</v>
      </c>
      <c r="F14" s="7" t="n">
        <v>5</v>
      </c>
      <c r="G14" s="8" t="n">
        <v>4</v>
      </c>
      <c r="H14" s="7" t="s">
        <v>62</v>
      </c>
      <c r="I14" s="6" t="s">
        <v>79</v>
      </c>
    </row>
    <row r="15" customFormat="false" ht="43.5" hidden="false" customHeight="true" outlineLevel="0" collapsed="false">
      <c r="A15" s="5" t="s">
        <v>80</v>
      </c>
      <c r="B15" s="6" t="s">
        <v>30</v>
      </c>
      <c r="C15" s="6" t="s">
        <v>81</v>
      </c>
      <c r="D15" s="6" t="s">
        <v>82</v>
      </c>
      <c r="E15" s="7" t="s">
        <v>26</v>
      </c>
      <c r="F15" s="7" t="n">
        <v>13</v>
      </c>
      <c r="G15" s="8" t="n">
        <v>4</v>
      </c>
      <c r="H15" s="7" t="s">
        <v>27</v>
      </c>
      <c r="I15" s="6" t="s">
        <v>83</v>
      </c>
    </row>
    <row r="16" customFormat="false" ht="43.5" hidden="false" customHeight="true" outlineLevel="0" collapsed="false">
      <c r="A16" s="5" t="s">
        <v>84</v>
      </c>
      <c r="B16" s="6" t="s">
        <v>39</v>
      </c>
      <c r="C16" s="6" t="s">
        <v>85</v>
      </c>
      <c r="D16" s="6" t="s">
        <v>86</v>
      </c>
      <c r="E16" s="7" t="s">
        <v>26</v>
      </c>
      <c r="F16" s="7" t="n">
        <v>3</v>
      </c>
      <c r="G16" s="8" t="n">
        <v>4</v>
      </c>
      <c r="H16" s="7" t="s">
        <v>43</v>
      </c>
      <c r="I16" s="6" t="s">
        <v>87</v>
      </c>
    </row>
    <row r="17" customFormat="false" ht="43.5" hidden="false" customHeight="true" outlineLevel="0" collapsed="false">
      <c r="A17" s="5" t="s">
        <v>88</v>
      </c>
      <c r="B17" s="6" t="s">
        <v>30</v>
      </c>
      <c r="C17" s="6" t="s">
        <v>89</v>
      </c>
      <c r="D17" s="6" t="s">
        <v>90</v>
      </c>
      <c r="E17" s="7" t="s">
        <v>26</v>
      </c>
      <c r="F17" s="7" t="n">
        <v>8</v>
      </c>
      <c r="G17" s="8" t="n">
        <v>5</v>
      </c>
      <c r="H17" s="7" t="s">
        <v>62</v>
      </c>
      <c r="I17" s="6" t="s">
        <v>91</v>
      </c>
    </row>
    <row r="18" customFormat="false" ht="43.5" hidden="false" customHeight="true" outlineLevel="0" collapsed="false">
      <c r="A18" s="5" t="s">
        <v>92</v>
      </c>
      <c r="B18" s="6" t="s">
        <v>30</v>
      </c>
      <c r="C18" s="6" t="s">
        <v>93</v>
      </c>
      <c r="D18" s="6" t="s">
        <v>94</v>
      </c>
      <c r="E18" s="7" t="s">
        <v>42</v>
      </c>
      <c r="F18" s="7" t="n">
        <v>8</v>
      </c>
      <c r="G18" s="8" t="n">
        <v>5</v>
      </c>
      <c r="H18" s="7" t="s">
        <v>62</v>
      </c>
      <c r="I18" s="6" t="s">
        <v>95</v>
      </c>
    </row>
    <row r="19" customFormat="false" ht="43.5" hidden="false" customHeight="true" outlineLevel="0" collapsed="false">
      <c r="A19" s="5" t="s">
        <v>96</v>
      </c>
      <c r="B19" s="6" t="s">
        <v>30</v>
      </c>
      <c r="C19" s="6" t="s">
        <v>97</v>
      </c>
      <c r="D19" s="6" t="s">
        <v>98</v>
      </c>
      <c r="E19" s="7" t="s">
        <v>42</v>
      </c>
      <c r="F19" s="7" t="n">
        <v>5</v>
      </c>
      <c r="G19" s="8" t="n">
        <v>5</v>
      </c>
      <c r="H19" s="7" t="s">
        <v>62</v>
      </c>
      <c r="I19" s="6" t="s">
        <v>99</v>
      </c>
    </row>
    <row r="20" customFormat="false" ht="43.5" hidden="false" customHeight="true" outlineLevel="0" collapsed="false">
      <c r="A20" s="5" t="s">
        <v>100</v>
      </c>
      <c r="B20" s="6" t="s">
        <v>39</v>
      </c>
      <c r="C20" s="6" t="s">
        <v>101</v>
      </c>
      <c r="D20" s="6" t="s">
        <v>102</v>
      </c>
      <c r="E20" s="7" t="s">
        <v>42</v>
      </c>
      <c r="F20" s="7" t="n">
        <v>3</v>
      </c>
      <c r="G20" s="8" t="n">
        <v>5</v>
      </c>
      <c r="H20" s="7" t="s">
        <v>43</v>
      </c>
      <c r="I20" s="6" t="s">
        <v>103</v>
      </c>
    </row>
    <row r="21" customFormat="false" ht="43.5" hidden="false" customHeight="true" outlineLevel="0" collapsed="false">
      <c r="A21" s="5" t="s">
        <v>104</v>
      </c>
      <c r="B21" s="6" t="s">
        <v>105</v>
      </c>
      <c r="C21" s="6" t="s">
        <v>106</v>
      </c>
      <c r="D21" s="6" t="s">
        <v>107</v>
      </c>
      <c r="E21" s="7" t="s">
        <v>26</v>
      </c>
      <c r="F21" s="7" t="n">
        <v>3</v>
      </c>
      <c r="G21" s="8" t="n">
        <v>5</v>
      </c>
      <c r="H21" s="7" t="s">
        <v>62</v>
      </c>
      <c r="I21" s="6" t="s">
        <v>108</v>
      </c>
    </row>
    <row r="22" customFormat="false" ht="43.5" hidden="false" customHeight="true" outlineLevel="0" collapsed="false">
      <c r="A22" s="5" t="s">
        <v>109</v>
      </c>
      <c r="B22" s="6" t="s">
        <v>30</v>
      </c>
      <c r="C22" s="6" t="s">
        <v>110</v>
      </c>
      <c r="D22" s="6" t="s">
        <v>94</v>
      </c>
      <c r="E22" s="7" t="s">
        <v>42</v>
      </c>
      <c r="F22" s="7" t="n">
        <v>5</v>
      </c>
      <c r="G22" s="8" t="n">
        <v>6</v>
      </c>
      <c r="H22" s="7" t="s">
        <v>43</v>
      </c>
      <c r="I22" s="6" t="s">
        <v>111</v>
      </c>
    </row>
    <row r="23" customFormat="false" ht="43.5" hidden="false" customHeight="true" outlineLevel="0" collapsed="false">
      <c r="A23" s="5" t="s">
        <v>112</v>
      </c>
      <c r="B23" s="6" t="s">
        <v>113</v>
      </c>
      <c r="C23" s="6" t="s">
        <v>114</v>
      </c>
      <c r="D23" s="6" t="s">
        <v>115</v>
      </c>
      <c r="E23" s="7" t="s">
        <v>26</v>
      </c>
      <c r="F23" s="7" t="n">
        <v>5</v>
      </c>
      <c r="G23" s="8" t="n">
        <v>6</v>
      </c>
      <c r="H23" s="7" t="s">
        <v>43</v>
      </c>
      <c r="I23" s="6" t="s">
        <v>116</v>
      </c>
    </row>
    <row r="24" customFormat="false" ht="43.5" hidden="false" customHeight="true" outlineLevel="0" collapsed="false">
      <c r="A24" s="5" t="s">
        <v>117</v>
      </c>
      <c r="B24" s="6" t="s">
        <v>113</v>
      </c>
      <c r="C24" s="6" t="s">
        <v>118</v>
      </c>
      <c r="D24" s="6" t="s">
        <v>119</v>
      </c>
      <c r="E24" s="7" t="s">
        <v>26</v>
      </c>
      <c r="F24" s="7" t="n">
        <v>8</v>
      </c>
      <c r="G24" s="8" t="n">
        <v>6</v>
      </c>
      <c r="H24" s="7" t="s">
        <v>43</v>
      </c>
      <c r="I24" s="6" t="s">
        <v>120</v>
      </c>
    </row>
    <row r="25" customFormat="false" ht="43.5" hidden="false" customHeight="true" outlineLevel="0" collapsed="false">
      <c r="A25" s="5" t="s">
        <v>121</v>
      </c>
      <c r="B25" s="6" t="s">
        <v>23</v>
      </c>
      <c r="C25" s="6" t="s">
        <v>122</v>
      </c>
      <c r="D25" s="6" t="s">
        <v>107</v>
      </c>
      <c r="E25" s="7" t="s">
        <v>26</v>
      </c>
      <c r="F25" s="7" t="n">
        <v>5</v>
      </c>
      <c r="G25" s="8" t="n">
        <v>6</v>
      </c>
      <c r="H25" s="7" t="s">
        <v>43</v>
      </c>
      <c r="I25" s="6" t="s">
        <v>123</v>
      </c>
    </row>
    <row r="26" customFormat="false" ht="43.5" hidden="false" customHeight="true" outlineLevel="0" collapsed="false">
      <c r="A26" s="5" t="s">
        <v>124</v>
      </c>
      <c r="B26" s="6" t="s">
        <v>30</v>
      </c>
      <c r="C26" s="6" t="s">
        <v>125</v>
      </c>
      <c r="D26" s="6" t="s">
        <v>126</v>
      </c>
      <c r="E26" s="7" t="s">
        <v>42</v>
      </c>
      <c r="F26" s="7" t="n">
        <v>8</v>
      </c>
      <c r="G26" s="8" t="n">
        <v>7</v>
      </c>
      <c r="H26" s="7" t="s">
        <v>43</v>
      </c>
      <c r="I26" s="6" t="s">
        <v>127</v>
      </c>
    </row>
    <row r="27" customFormat="false" ht="43.5" hidden="false" customHeight="true" outlineLevel="0" collapsed="false">
      <c r="A27" s="5" t="s">
        <v>128</v>
      </c>
      <c r="B27" s="6" t="s">
        <v>30</v>
      </c>
      <c r="C27" s="6" t="s">
        <v>129</v>
      </c>
      <c r="D27" s="6" t="s">
        <v>130</v>
      </c>
      <c r="E27" s="7" t="s">
        <v>131</v>
      </c>
      <c r="F27" s="7" t="n">
        <v>3</v>
      </c>
      <c r="G27" s="8" t="n">
        <v>7</v>
      </c>
      <c r="H27" s="7" t="s">
        <v>43</v>
      </c>
      <c r="I27" s="6" t="s">
        <v>132</v>
      </c>
    </row>
    <row r="28" customFormat="false" ht="43.5" hidden="false" customHeight="true" outlineLevel="0" collapsed="false">
      <c r="A28" s="5" t="s">
        <v>133</v>
      </c>
      <c r="B28" s="6" t="s">
        <v>30</v>
      </c>
      <c r="C28" s="6" t="s">
        <v>134</v>
      </c>
      <c r="D28" s="6" t="s">
        <v>135</v>
      </c>
      <c r="E28" s="7" t="s">
        <v>131</v>
      </c>
      <c r="F28" s="7" t="n">
        <v>3</v>
      </c>
      <c r="G28" s="8" t="n">
        <v>7</v>
      </c>
      <c r="H28" s="7" t="s">
        <v>43</v>
      </c>
      <c r="I28" s="6" t="s">
        <v>136</v>
      </c>
    </row>
    <row r="29" customFormat="false" ht="43.5" hidden="false" customHeight="true" outlineLevel="0" collapsed="false">
      <c r="A29" s="5" t="s">
        <v>137</v>
      </c>
      <c r="B29" s="6" t="s">
        <v>113</v>
      </c>
      <c r="C29" s="6" t="s">
        <v>138</v>
      </c>
      <c r="D29" s="6" t="s">
        <v>119</v>
      </c>
      <c r="E29" s="7" t="s">
        <v>26</v>
      </c>
      <c r="F29" s="7" t="n">
        <v>5</v>
      </c>
      <c r="G29" s="8" t="n">
        <v>7</v>
      </c>
      <c r="H29" s="7" t="s">
        <v>43</v>
      </c>
      <c r="I29" s="6" t="s">
        <v>139</v>
      </c>
    </row>
    <row r="30" customFormat="false" ht="43.5" hidden="false" customHeight="true" outlineLevel="0" collapsed="false">
      <c r="A30" s="5" t="s">
        <v>140</v>
      </c>
      <c r="B30" s="6" t="s">
        <v>105</v>
      </c>
      <c r="C30" s="6" t="s">
        <v>141</v>
      </c>
      <c r="D30" s="6" t="s">
        <v>107</v>
      </c>
      <c r="E30" s="7" t="s">
        <v>26</v>
      </c>
      <c r="F30" s="7" t="n">
        <v>8</v>
      </c>
      <c r="G30" s="8" t="n">
        <v>7</v>
      </c>
      <c r="H30" s="7" t="s">
        <v>43</v>
      </c>
      <c r="I30" s="6" t="s">
        <v>142</v>
      </c>
    </row>
    <row r="31" customFormat="false" ht="43.5" hidden="false" customHeight="true" outlineLevel="0" collapsed="false">
      <c r="A31" s="5" t="s">
        <v>143</v>
      </c>
      <c r="B31" s="6" t="s">
        <v>30</v>
      </c>
      <c r="C31" s="6" t="s">
        <v>144</v>
      </c>
      <c r="D31" s="6" t="s">
        <v>145</v>
      </c>
      <c r="E31" s="7" t="s">
        <v>131</v>
      </c>
      <c r="F31" s="7" t="n">
        <v>3</v>
      </c>
      <c r="G31" s="8" t="s">
        <v>146</v>
      </c>
      <c r="H31" s="7" t="s">
        <v>43</v>
      </c>
      <c r="I31" s="6" t="s">
        <v>147</v>
      </c>
    </row>
    <row r="32" customFormat="false" ht="43.5" hidden="false" customHeight="true" outlineLevel="0" collapsed="false">
      <c r="A32" s="5" t="s">
        <v>148</v>
      </c>
      <c r="B32" s="6" t="s">
        <v>30</v>
      </c>
      <c r="C32" s="6" t="s">
        <v>149</v>
      </c>
      <c r="D32" s="6" t="s">
        <v>150</v>
      </c>
      <c r="E32" s="7" t="s">
        <v>131</v>
      </c>
      <c r="F32" s="7" t="n">
        <v>8</v>
      </c>
      <c r="G32" s="8" t="s">
        <v>146</v>
      </c>
      <c r="H32" s="7" t="s">
        <v>43</v>
      </c>
      <c r="I32" s="6" t="s">
        <v>151</v>
      </c>
    </row>
  </sheetData>
  <autoFilter ref="A1:I32"/>
  <conditionalFormatting sqref="H2:H32">
    <cfRule type="cellIs" priority="2" operator="equal" aboveAverage="0" equalAverage="0" bottom="0" percent="0" rank="0" text="" dxfId="8">
      <formula>"Hecho"</formula>
    </cfRule>
    <cfRule type="cellIs" priority="3" operator="equal" aboveAverage="0" equalAverage="0" bottom="0" percent="0" rank="0" text="" dxfId="9">
      <formula>"En curso"</formula>
    </cfRule>
    <cfRule type="cellIs" priority="4" operator="equal" aboveAverage="0" equalAverage="0" bottom="0" percent="0" rank="0" text="" dxfId="10">
      <formula>"Pendiente"</formula>
    </cfRule>
  </conditionalFormatting>
  <dataValidations count="2">
    <dataValidation allowBlank="false" errorStyle="stop" operator="between" showDropDown="false" showErrorMessage="false" showInputMessage="false" sqref="H2:H32" type="list">
      <formula1>"Pendiente,En curso,Hecho"</formula1>
      <formula2>0</formula2>
    </dataValidation>
    <dataValidation allowBlank="false" errorStyle="stop" operator="between" showDropDown="false" showErrorMessage="false" showInputMessage="false" sqref="E2:E32" type="list">
      <formula1>"Debe,Debería,Podría"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9"/>
    <col collapsed="false" customWidth="true" hidden="false" outlineLevel="0" max="4" min="4" style="0" width="64"/>
    <col collapsed="false" customWidth="true" hidden="false" outlineLevel="0" max="5" min="5" style="0" width="18"/>
    <col collapsed="false" customWidth="true" hidden="false" outlineLevel="0" max="8" min="6" style="0" width="12"/>
    <col collapsed="false" customWidth="true" hidden="false" outlineLevel="0" max="9" min="9" style="0" width="14"/>
  </cols>
  <sheetData>
    <row r="1" customFormat="false" ht="31.5" hidden="false" customHeight="true" outlineLevel="0" collapsed="false">
      <c r="A1" s="4" t="s">
        <v>152</v>
      </c>
      <c r="B1" s="4" t="s">
        <v>19</v>
      </c>
      <c r="C1" s="4" t="s">
        <v>15</v>
      </c>
      <c r="D1" s="4" t="s">
        <v>153</v>
      </c>
      <c r="E1" s="4" t="s">
        <v>154</v>
      </c>
      <c r="F1" s="4" t="s">
        <v>155</v>
      </c>
      <c r="G1" s="4" t="s">
        <v>20</v>
      </c>
      <c r="H1" s="4" t="s">
        <v>156</v>
      </c>
      <c r="I1" s="4" t="s">
        <v>157</v>
      </c>
    </row>
    <row r="2" customFormat="false" ht="27.75" hidden="false" customHeight="true" outlineLevel="0" collapsed="false">
      <c r="A2" s="5" t="s">
        <v>158</v>
      </c>
      <c r="B2" s="9" t="n">
        <v>1</v>
      </c>
      <c r="C2" s="5" t="s">
        <v>22</v>
      </c>
      <c r="D2" s="6" t="s">
        <v>159</v>
      </c>
      <c r="E2" s="10" t="s">
        <v>160</v>
      </c>
      <c r="F2" s="7" t="n">
        <v>6</v>
      </c>
      <c r="G2" s="7" t="s">
        <v>27</v>
      </c>
      <c r="H2" s="7"/>
      <c r="I2" s="11"/>
    </row>
    <row r="3" customFormat="false" ht="27.75" hidden="false" customHeight="true" outlineLevel="0" collapsed="false">
      <c r="A3" s="5" t="s">
        <v>161</v>
      </c>
      <c r="B3" s="9" t="n">
        <v>1</v>
      </c>
      <c r="C3" s="5" t="s">
        <v>22</v>
      </c>
      <c r="D3" s="6" t="s">
        <v>162</v>
      </c>
      <c r="E3" s="10" t="s">
        <v>160</v>
      </c>
      <c r="F3" s="7" t="n">
        <v>4</v>
      </c>
      <c r="G3" s="7" t="s">
        <v>27</v>
      </c>
      <c r="H3" s="7"/>
      <c r="I3" s="11"/>
    </row>
    <row r="4" customFormat="false" ht="27.75" hidden="false" customHeight="true" outlineLevel="0" collapsed="false">
      <c r="A4" s="5" t="s">
        <v>163</v>
      </c>
      <c r="B4" s="9" t="n">
        <v>1</v>
      </c>
      <c r="C4" s="5" t="s">
        <v>29</v>
      </c>
      <c r="D4" s="6" t="s">
        <v>164</v>
      </c>
      <c r="E4" s="10" t="s">
        <v>160</v>
      </c>
      <c r="F4" s="7" t="n">
        <v>6</v>
      </c>
      <c r="G4" s="7" t="s">
        <v>27</v>
      </c>
      <c r="H4" s="7"/>
      <c r="I4" s="11"/>
    </row>
    <row r="5" customFormat="false" ht="27.75" hidden="false" customHeight="true" outlineLevel="0" collapsed="false">
      <c r="A5" s="5" t="s">
        <v>165</v>
      </c>
      <c r="B5" s="9" t="n">
        <v>1</v>
      </c>
      <c r="C5" s="5" t="s">
        <v>29</v>
      </c>
      <c r="D5" s="6" t="s">
        <v>166</v>
      </c>
      <c r="E5" s="10" t="s">
        <v>160</v>
      </c>
      <c r="F5" s="7" t="n">
        <v>4</v>
      </c>
      <c r="G5" s="7" t="s">
        <v>27</v>
      </c>
      <c r="H5" s="7"/>
      <c r="I5" s="11"/>
    </row>
    <row r="6" customFormat="false" ht="27.75" hidden="false" customHeight="true" outlineLevel="0" collapsed="false">
      <c r="A6" s="5" t="s">
        <v>167</v>
      </c>
      <c r="B6" s="9" t="n">
        <v>1</v>
      </c>
      <c r="C6" s="5" t="s">
        <v>29</v>
      </c>
      <c r="D6" s="6" t="s">
        <v>168</v>
      </c>
      <c r="E6" s="10" t="s">
        <v>169</v>
      </c>
      <c r="F6" s="7" t="n">
        <v>2</v>
      </c>
      <c r="G6" s="7" t="s">
        <v>27</v>
      </c>
      <c r="H6" s="7"/>
      <c r="I6" s="11"/>
    </row>
    <row r="7" customFormat="false" ht="27.75" hidden="false" customHeight="true" outlineLevel="0" collapsed="false">
      <c r="A7" s="5" t="s">
        <v>170</v>
      </c>
      <c r="B7" s="9" t="n">
        <v>1</v>
      </c>
      <c r="C7" s="5" t="s">
        <v>34</v>
      </c>
      <c r="D7" s="6" t="s">
        <v>171</v>
      </c>
      <c r="E7" s="10" t="s">
        <v>160</v>
      </c>
      <c r="F7" s="7" t="n">
        <v>3</v>
      </c>
      <c r="G7" s="7" t="s">
        <v>27</v>
      </c>
      <c r="H7" s="7"/>
      <c r="I7" s="11"/>
    </row>
    <row r="8" customFormat="false" ht="27.75" hidden="false" customHeight="true" outlineLevel="0" collapsed="false">
      <c r="A8" s="5" t="s">
        <v>172</v>
      </c>
      <c r="B8" s="9" t="n">
        <v>1</v>
      </c>
      <c r="C8" s="5" t="s">
        <v>34</v>
      </c>
      <c r="D8" s="6" t="s">
        <v>173</v>
      </c>
      <c r="E8" s="10" t="s">
        <v>174</v>
      </c>
      <c r="F8" s="7" t="n">
        <v>4</v>
      </c>
      <c r="G8" s="7" t="s">
        <v>27</v>
      </c>
      <c r="H8" s="7"/>
      <c r="I8" s="11"/>
    </row>
    <row r="9" customFormat="false" ht="27.75" hidden="false" customHeight="true" outlineLevel="0" collapsed="false">
      <c r="A9" s="5" t="s">
        <v>175</v>
      </c>
      <c r="B9" s="9" t="n">
        <v>2</v>
      </c>
      <c r="C9" s="5" t="s">
        <v>38</v>
      </c>
      <c r="D9" s="6" t="s">
        <v>176</v>
      </c>
      <c r="E9" s="10" t="s">
        <v>160</v>
      </c>
      <c r="F9" s="7" t="n">
        <v>5</v>
      </c>
      <c r="G9" s="7" t="s">
        <v>177</v>
      </c>
      <c r="H9" s="7"/>
      <c r="I9" s="11"/>
    </row>
    <row r="10" customFormat="false" ht="27.75" hidden="false" customHeight="true" outlineLevel="0" collapsed="false">
      <c r="A10" s="5" t="s">
        <v>178</v>
      </c>
      <c r="B10" s="9" t="n">
        <v>2</v>
      </c>
      <c r="C10" s="5" t="s">
        <v>38</v>
      </c>
      <c r="D10" s="6" t="s">
        <v>179</v>
      </c>
      <c r="E10" s="10" t="s">
        <v>169</v>
      </c>
      <c r="F10" s="7" t="n">
        <v>3</v>
      </c>
      <c r="G10" s="7" t="s">
        <v>177</v>
      </c>
      <c r="H10" s="7"/>
      <c r="I10" s="11"/>
    </row>
    <row r="11" customFormat="false" ht="27.75" hidden="false" customHeight="true" outlineLevel="0" collapsed="false">
      <c r="A11" s="5" t="s">
        <v>180</v>
      </c>
      <c r="B11" s="9" t="n">
        <v>2</v>
      </c>
      <c r="C11" s="5" t="s">
        <v>45</v>
      </c>
      <c r="D11" s="6" t="s">
        <v>181</v>
      </c>
      <c r="E11" s="10" t="s">
        <v>160</v>
      </c>
      <c r="F11" s="7" t="n">
        <v>8</v>
      </c>
      <c r="G11" s="7" t="s">
        <v>27</v>
      </c>
      <c r="H11" s="7"/>
      <c r="I11" s="11"/>
    </row>
    <row r="12" customFormat="false" ht="27.75" hidden="false" customHeight="true" outlineLevel="0" collapsed="false">
      <c r="A12" s="5" t="s">
        <v>182</v>
      </c>
      <c r="B12" s="9" t="n">
        <v>2</v>
      </c>
      <c r="C12" s="5" t="s">
        <v>45</v>
      </c>
      <c r="D12" s="6" t="s">
        <v>183</v>
      </c>
      <c r="E12" s="10" t="s">
        <v>174</v>
      </c>
      <c r="F12" s="7" t="n">
        <v>6</v>
      </c>
      <c r="G12" s="7" t="s">
        <v>27</v>
      </c>
      <c r="H12" s="7"/>
      <c r="I12" s="11"/>
    </row>
    <row r="13" customFormat="false" ht="27.75" hidden="false" customHeight="true" outlineLevel="0" collapsed="false">
      <c r="A13" s="5" t="s">
        <v>184</v>
      </c>
      <c r="B13" s="9" t="n">
        <v>2</v>
      </c>
      <c r="C13" s="5" t="s">
        <v>48</v>
      </c>
      <c r="D13" s="6" t="s">
        <v>185</v>
      </c>
      <c r="E13" s="10" t="s">
        <v>174</v>
      </c>
      <c r="F13" s="7" t="n">
        <v>6</v>
      </c>
      <c r="G13" s="7" t="s">
        <v>27</v>
      </c>
      <c r="H13" s="7"/>
      <c r="I13" s="11"/>
    </row>
    <row r="14" customFormat="false" ht="27.75" hidden="false" customHeight="true" outlineLevel="0" collapsed="false">
      <c r="A14" s="5" t="s">
        <v>186</v>
      </c>
      <c r="B14" s="9" t="n">
        <v>2</v>
      </c>
      <c r="C14" s="5" t="s">
        <v>48</v>
      </c>
      <c r="D14" s="6" t="s">
        <v>187</v>
      </c>
      <c r="E14" s="10" t="s">
        <v>160</v>
      </c>
      <c r="F14" s="7" t="n">
        <v>5</v>
      </c>
      <c r="G14" s="7" t="s">
        <v>27</v>
      </c>
      <c r="H14" s="7"/>
      <c r="I14" s="11"/>
    </row>
    <row r="15" customFormat="false" ht="27.75" hidden="false" customHeight="true" outlineLevel="0" collapsed="false">
      <c r="A15" s="5" t="s">
        <v>188</v>
      </c>
      <c r="B15" s="9" t="n">
        <v>2</v>
      </c>
      <c r="C15" s="5" t="s">
        <v>52</v>
      </c>
      <c r="D15" s="6" t="s">
        <v>189</v>
      </c>
      <c r="E15" s="10" t="s">
        <v>174</v>
      </c>
      <c r="F15" s="7" t="n">
        <v>6</v>
      </c>
      <c r="G15" s="7" t="s">
        <v>177</v>
      </c>
      <c r="H15" s="7"/>
      <c r="I15" s="11"/>
    </row>
    <row r="16" customFormat="false" ht="27.75" hidden="false" customHeight="true" outlineLevel="0" collapsed="false">
      <c r="A16" s="5" t="s">
        <v>190</v>
      </c>
      <c r="B16" s="9" t="n">
        <v>2</v>
      </c>
      <c r="C16" s="5" t="s">
        <v>52</v>
      </c>
      <c r="D16" s="6" t="s">
        <v>191</v>
      </c>
      <c r="E16" s="10" t="s">
        <v>160</v>
      </c>
      <c r="F16" s="7" t="n">
        <v>2</v>
      </c>
      <c r="G16" s="7" t="s">
        <v>177</v>
      </c>
      <c r="H16" s="7"/>
      <c r="I16" s="11"/>
    </row>
    <row r="17" customFormat="false" ht="27.75" hidden="false" customHeight="true" outlineLevel="0" collapsed="false">
      <c r="A17" s="5" t="s">
        <v>192</v>
      </c>
      <c r="B17" s="9" t="n">
        <v>3</v>
      </c>
      <c r="C17" s="5" t="s">
        <v>56</v>
      </c>
      <c r="D17" s="6" t="s">
        <v>193</v>
      </c>
      <c r="E17" s="10" t="s">
        <v>160</v>
      </c>
      <c r="F17" s="7" t="n">
        <v>6</v>
      </c>
      <c r="G17" s="7" t="s">
        <v>27</v>
      </c>
      <c r="H17" s="7"/>
      <c r="I17" s="11"/>
    </row>
    <row r="18" customFormat="false" ht="27.75" hidden="false" customHeight="true" outlineLevel="0" collapsed="false">
      <c r="A18" s="5" t="s">
        <v>194</v>
      </c>
      <c r="B18" s="9" t="n">
        <v>3</v>
      </c>
      <c r="C18" s="5" t="s">
        <v>56</v>
      </c>
      <c r="D18" s="6" t="s">
        <v>195</v>
      </c>
      <c r="E18" s="10" t="s">
        <v>160</v>
      </c>
      <c r="F18" s="7" t="n">
        <v>3</v>
      </c>
      <c r="G18" s="7" t="s">
        <v>27</v>
      </c>
      <c r="H18" s="7"/>
      <c r="I18" s="11"/>
    </row>
    <row r="19" customFormat="false" ht="27.75" hidden="false" customHeight="true" outlineLevel="0" collapsed="false">
      <c r="A19" s="5" t="s">
        <v>196</v>
      </c>
      <c r="B19" s="9" t="n">
        <v>3</v>
      </c>
      <c r="C19" s="5" t="s">
        <v>56</v>
      </c>
      <c r="D19" s="6" t="s">
        <v>197</v>
      </c>
      <c r="E19" s="10" t="s">
        <v>169</v>
      </c>
      <c r="F19" s="7" t="n">
        <v>3</v>
      </c>
      <c r="G19" s="7" t="s">
        <v>27</v>
      </c>
      <c r="H19" s="7"/>
      <c r="I19" s="11"/>
    </row>
    <row r="20" customFormat="false" ht="27.75" hidden="false" customHeight="true" outlineLevel="0" collapsed="false">
      <c r="A20" s="5" t="s">
        <v>198</v>
      </c>
      <c r="B20" s="9" t="n">
        <v>3</v>
      </c>
      <c r="C20" s="5" t="s">
        <v>59</v>
      </c>
      <c r="D20" s="6" t="s">
        <v>199</v>
      </c>
      <c r="E20" s="10" t="s">
        <v>160</v>
      </c>
      <c r="F20" s="7" t="n">
        <v>5</v>
      </c>
      <c r="G20" s="7" t="s">
        <v>62</v>
      </c>
      <c r="H20" s="7"/>
      <c r="I20" s="11"/>
    </row>
    <row r="21" customFormat="false" ht="27.75" hidden="false" customHeight="true" outlineLevel="0" collapsed="false">
      <c r="A21" s="5" t="s">
        <v>200</v>
      </c>
      <c r="B21" s="9" t="n">
        <v>3</v>
      </c>
      <c r="C21" s="5" t="s">
        <v>59</v>
      </c>
      <c r="D21" s="6" t="s">
        <v>201</v>
      </c>
      <c r="E21" s="10" t="s">
        <v>174</v>
      </c>
      <c r="F21" s="7" t="n">
        <v>3</v>
      </c>
      <c r="G21" s="7" t="s">
        <v>62</v>
      </c>
      <c r="H21" s="7"/>
      <c r="I21" s="11"/>
    </row>
    <row r="22" customFormat="false" ht="27.75" hidden="false" customHeight="true" outlineLevel="0" collapsed="false">
      <c r="A22" s="5" t="s">
        <v>202</v>
      </c>
      <c r="B22" s="9" t="n">
        <v>3</v>
      </c>
      <c r="C22" s="5" t="s">
        <v>64</v>
      </c>
      <c r="D22" s="6" t="s">
        <v>203</v>
      </c>
      <c r="E22" s="10" t="s">
        <v>160</v>
      </c>
      <c r="F22" s="7" t="n">
        <v>8</v>
      </c>
      <c r="G22" s="7" t="s">
        <v>62</v>
      </c>
      <c r="H22" s="7"/>
      <c r="I22" s="11"/>
    </row>
    <row r="23" customFormat="false" ht="27.75" hidden="false" customHeight="true" outlineLevel="0" collapsed="false">
      <c r="A23" s="5" t="s">
        <v>204</v>
      </c>
      <c r="B23" s="9" t="n">
        <v>3</v>
      </c>
      <c r="C23" s="5" t="s">
        <v>64</v>
      </c>
      <c r="D23" s="6" t="s">
        <v>205</v>
      </c>
      <c r="E23" s="10" t="s">
        <v>174</v>
      </c>
      <c r="F23" s="7" t="n">
        <v>5</v>
      </c>
      <c r="G23" s="7" t="s">
        <v>62</v>
      </c>
      <c r="H23" s="7"/>
      <c r="I23" s="11"/>
    </row>
    <row r="24" customFormat="false" ht="27.75" hidden="false" customHeight="true" outlineLevel="0" collapsed="false">
      <c r="A24" s="5" t="s">
        <v>206</v>
      </c>
      <c r="B24" s="9" t="n">
        <v>3</v>
      </c>
      <c r="C24" s="5" t="s">
        <v>64</v>
      </c>
      <c r="D24" s="6" t="s">
        <v>207</v>
      </c>
      <c r="E24" s="10" t="s">
        <v>169</v>
      </c>
      <c r="F24" s="7" t="n">
        <v>4</v>
      </c>
      <c r="G24" s="7" t="s">
        <v>62</v>
      </c>
      <c r="H24" s="7"/>
      <c r="I24" s="11"/>
    </row>
    <row r="25" customFormat="false" ht="27.75" hidden="false" customHeight="true" outlineLevel="0" collapsed="false">
      <c r="A25" s="5" t="s">
        <v>208</v>
      </c>
      <c r="B25" s="9" t="n">
        <v>3</v>
      </c>
      <c r="C25" s="5" t="s">
        <v>68</v>
      </c>
      <c r="D25" s="6" t="s">
        <v>209</v>
      </c>
      <c r="E25" s="10" t="s">
        <v>160</v>
      </c>
      <c r="F25" s="7" t="n">
        <v>6</v>
      </c>
      <c r="G25" s="7" t="s">
        <v>177</v>
      </c>
      <c r="H25" s="7"/>
      <c r="I25" s="11"/>
    </row>
    <row r="26" customFormat="false" ht="27.75" hidden="false" customHeight="true" outlineLevel="0" collapsed="false">
      <c r="A26" s="5" t="s">
        <v>210</v>
      </c>
      <c r="B26" s="9" t="n">
        <v>4</v>
      </c>
      <c r="C26" s="5" t="s">
        <v>72</v>
      </c>
      <c r="D26" s="6" t="s">
        <v>211</v>
      </c>
      <c r="E26" s="10" t="s">
        <v>160</v>
      </c>
      <c r="F26" s="7" t="n">
        <v>5</v>
      </c>
      <c r="G26" s="7" t="s">
        <v>27</v>
      </c>
      <c r="H26" s="7"/>
      <c r="I26" s="11"/>
    </row>
    <row r="27" customFormat="false" ht="27.75" hidden="false" customHeight="true" outlineLevel="0" collapsed="false">
      <c r="A27" s="5" t="s">
        <v>212</v>
      </c>
      <c r="B27" s="9" t="n">
        <v>4</v>
      </c>
      <c r="C27" s="5" t="s">
        <v>72</v>
      </c>
      <c r="D27" s="6" t="s">
        <v>213</v>
      </c>
      <c r="E27" s="10" t="s">
        <v>174</v>
      </c>
      <c r="F27" s="7" t="n">
        <v>4</v>
      </c>
      <c r="G27" s="7" t="s">
        <v>27</v>
      </c>
      <c r="H27" s="7"/>
      <c r="I27" s="11"/>
    </row>
    <row r="28" customFormat="false" ht="27.75" hidden="false" customHeight="true" outlineLevel="0" collapsed="false">
      <c r="A28" s="5" t="s">
        <v>214</v>
      </c>
      <c r="B28" s="9" t="n">
        <v>4</v>
      </c>
      <c r="C28" s="5" t="s">
        <v>76</v>
      </c>
      <c r="D28" s="6" t="s">
        <v>215</v>
      </c>
      <c r="E28" s="10" t="s">
        <v>174</v>
      </c>
      <c r="F28" s="7" t="n">
        <v>6</v>
      </c>
      <c r="G28" s="7" t="s">
        <v>62</v>
      </c>
      <c r="H28" s="7"/>
      <c r="I28" s="11"/>
    </row>
    <row r="29" customFormat="false" ht="27.75" hidden="false" customHeight="true" outlineLevel="0" collapsed="false">
      <c r="A29" s="5" t="s">
        <v>216</v>
      </c>
      <c r="B29" s="9" t="n">
        <v>4</v>
      </c>
      <c r="C29" s="5" t="s">
        <v>76</v>
      </c>
      <c r="D29" s="6" t="s">
        <v>217</v>
      </c>
      <c r="E29" s="10" t="s">
        <v>160</v>
      </c>
      <c r="F29" s="7" t="n">
        <v>4</v>
      </c>
      <c r="G29" s="7" t="s">
        <v>62</v>
      </c>
      <c r="H29" s="7"/>
      <c r="I29" s="11"/>
    </row>
    <row r="30" customFormat="false" ht="27.75" hidden="false" customHeight="true" outlineLevel="0" collapsed="false">
      <c r="A30" s="5" t="s">
        <v>218</v>
      </c>
      <c r="B30" s="9" t="n">
        <v>4</v>
      </c>
      <c r="C30" s="5" t="s">
        <v>80</v>
      </c>
      <c r="D30" s="6" t="s">
        <v>219</v>
      </c>
      <c r="E30" s="10" t="s">
        <v>160</v>
      </c>
      <c r="F30" s="7" t="n">
        <v>6</v>
      </c>
      <c r="G30" s="7" t="s">
        <v>27</v>
      </c>
      <c r="H30" s="7"/>
      <c r="I30" s="11"/>
    </row>
    <row r="31" customFormat="false" ht="27.75" hidden="false" customHeight="true" outlineLevel="0" collapsed="false">
      <c r="A31" s="5" t="s">
        <v>220</v>
      </c>
      <c r="B31" s="9" t="n">
        <v>4</v>
      </c>
      <c r="C31" s="5" t="s">
        <v>80</v>
      </c>
      <c r="D31" s="6" t="s">
        <v>221</v>
      </c>
      <c r="E31" s="10" t="s">
        <v>160</v>
      </c>
      <c r="F31" s="7" t="n">
        <v>8</v>
      </c>
      <c r="G31" s="7" t="s">
        <v>27</v>
      </c>
      <c r="H31" s="7"/>
      <c r="I31" s="11"/>
    </row>
    <row r="32" customFormat="false" ht="27.75" hidden="false" customHeight="true" outlineLevel="0" collapsed="false">
      <c r="A32" s="5" t="s">
        <v>222</v>
      </c>
      <c r="B32" s="9" t="n">
        <v>4</v>
      </c>
      <c r="C32" s="5" t="s">
        <v>80</v>
      </c>
      <c r="D32" s="6" t="s">
        <v>223</v>
      </c>
      <c r="E32" s="10" t="s">
        <v>169</v>
      </c>
      <c r="F32" s="7" t="n">
        <v>4</v>
      </c>
      <c r="G32" s="7" t="s">
        <v>27</v>
      </c>
      <c r="H32" s="7"/>
      <c r="I32" s="11"/>
    </row>
    <row r="33" customFormat="false" ht="27.75" hidden="false" customHeight="true" outlineLevel="0" collapsed="false">
      <c r="A33" s="5" t="s">
        <v>224</v>
      </c>
      <c r="B33" s="9" t="n">
        <v>4</v>
      </c>
      <c r="C33" s="5" t="s">
        <v>84</v>
      </c>
      <c r="D33" s="6" t="s">
        <v>225</v>
      </c>
      <c r="E33" s="10" t="s">
        <v>174</v>
      </c>
      <c r="F33" s="7" t="n">
        <v>4</v>
      </c>
      <c r="G33" s="7" t="s">
        <v>177</v>
      </c>
      <c r="H33" s="7"/>
      <c r="I33" s="11"/>
    </row>
    <row r="34" customFormat="false" ht="27.75" hidden="false" customHeight="true" outlineLevel="0" collapsed="false">
      <c r="A34" s="5" t="s">
        <v>226</v>
      </c>
      <c r="B34" s="9" t="n">
        <v>5</v>
      </c>
      <c r="C34" s="5" t="s">
        <v>88</v>
      </c>
      <c r="D34" s="6" t="s">
        <v>227</v>
      </c>
      <c r="E34" s="10" t="s">
        <v>160</v>
      </c>
      <c r="F34" s="7" t="n">
        <v>6</v>
      </c>
      <c r="G34" s="7" t="s">
        <v>62</v>
      </c>
      <c r="H34" s="7"/>
      <c r="I34" s="11"/>
    </row>
    <row r="35" customFormat="false" ht="27.75" hidden="false" customHeight="true" outlineLevel="0" collapsed="false">
      <c r="A35" s="5" t="s">
        <v>228</v>
      </c>
      <c r="B35" s="9" t="n">
        <v>5</v>
      </c>
      <c r="C35" s="5" t="s">
        <v>88</v>
      </c>
      <c r="D35" s="6" t="s">
        <v>229</v>
      </c>
      <c r="E35" s="10" t="s">
        <v>174</v>
      </c>
      <c r="F35" s="7" t="n">
        <v>4</v>
      </c>
      <c r="G35" s="7" t="s">
        <v>62</v>
      </c>
      <c r="H35" s="7"/>
      <c r="I35" s="11"/>
    </row>
    <row r="36" customFormat="false" ht="27.75" hidden="false" customHeight="true" outlineLevel="0" collapsed="false">
      <c r="A36" s="5" t="s">
        <v>230</v>
      </c>
      <c r="B36" s="9" t="n">
        <v>5</v>
      </c>
      <c r="C36" s="5" t="s">
        <v>88</v>
      </c>
      <c r="D36" s="6" t="s">
        <v>231</v>
      </c>
      <c r="E36" s="10" t="s">
        <v>169</v>
      </c>
      <c r="F36" s="7" t="n">
        <v>2</v>
      </c>
      <c r="G36" s="7" t="s">
        <v>62</v>
      </c>
      <c r="H36" s="7"/>
      <c r="I36" s="11"/>
    </row>
    <row r="37" customFormat="false" ht="27.75" hidden="false" customHeight="true" outlineLevel="0" collapsed="false">
      <c r="A37" s="5" t="s">
        <v>232</v>
      </c>
      <c r="B37" s="9" t="n">
        <v>5</v>
      </c>
      <c r="C37" s="5" t="s">
        <v>92</v>
      </c>
      <c r="D37" s="6" t="s">
        <v>233</v>
      </c>
      <c r="E37" s="10" t="s">
        <v>160</v>
      </c>
      <c r="F37" s="7" t="n">
        <v>8</v>
      </c>
      <c r="G37" s="7" t="s">
        <v>62</v>
      </c>
      <c r="H37" s="7"/>
      <c r="I37" s="11"/>
    </row>
    <row r="38" customFormat="false" ht="27.75" hidden="false" customHeight="true" outlineLevel="0" collapsed="false">
      <c r="A38" s="5" t="s">
        <v>234</v>
      </c>
      <c r="B38" s="9" t="n">
        <v>5</v>
      </c>
      <c r="C38" s="5" t="s">
        <v>92</v>
      </c>
      <c r="D38" s="6" t="s">
        <v>235</v>
      </c>
      <c r="E38" s="10" t="s">
        <v>160</v>
      </c>
      <c r="F38" s="7" t="n">
        <v>4</v>
      </c>
      <c r="G38" s="7" t="s">
        <v>62</v>
      </c>
      <c r="H38" s="7"/>
      <c r="I38" s="11"/>
    </row>
    <row r="39" customFormat="false" ht="27.75" hidden="false" customHeight="true" outlineLevel="0" collapsed="false">
      <c r="A39" s="5" t="s">
        <v>236</v>
      </c>
      <c r="B39" s="9" t="n">
        <v>5</v>
      </c>
      <c r="C39" s="5" t="s">
        <v>92</v>
      </c>
      <c r="D39" s="6" t="s">
        <v>237</v>
      </c>
      <c r="E39" s="10" t="s">
        <v>169</v>
      </c>
      <c r="F39" s="7" t="n">
        <v>4</v>
      </c>
      <c r="G39" s="7" t="s">
        <v>62</v>
      </c>
      <c r="H39" s="7"/>
      <c r="I39" s="11"/>
    </row>
    <row r="40" customFormat="false" ht="27.75" hidden="false" customHeight="true" outlineLevel="0" collapsed="false">
      <c r="A40" s="5" t="s">
        <v>238</v>
      </c>
      <c r="B40" s="9" t="n">
        <v>5</v>
      </c>
      <c r="C40" s="5" t="s">
        <v>96</v>
      </c>
      <c r="D40" s="6" t="s">
        <v>239</v>
      </c>
      <c r="E40" s="10" t="s">
        <v>174</v>
      </c>
      <c r="F40" s="7" t="n">
        <v>6</v>
      </c>
      <c r="G40" s="7" t="s">
        <v>62</v>
      </c>
      <c r="H40" s="7"/>
      <c r="I40" s="11"/>
    </row>
    <row r="41" customFormat="false" ht="27.75" hidden="false" customHeight="true" outlineLevel="0" collapsed="false">
      <c r="A41" s="5" t="s">
        <v>240</v>
      </c>
      <c r="B41" s="9" t="n">
        <v>5</v>
      </c>
      <c r="C41" s="5" t="s">
        <v>100</v>
      </c>
      <c r="D41" s="6" t="s">
        <v>241</v>
      </c>
      <c r="E41" s="10" t="s">
        <v>174</v>
      </c>
      <c r="F41" s="7" t="n">
        <v>4</v>
      </c>
      <c r="G41" s="7" t="s">
        <v>177</v>
      </c>
      <c r="H41" s="7"/>
      <c r="I41" s="11"/>
    </row>
    <row r="42" customFormat="false" ht="27.75" hidden="false" customHeight="true" outlineLevel="0" collapsed="false">
      <c r="A42" s="5" t="s">
        <v>242</v>
      </c>
      <c r="B42" s="9" t="n">
        <v>5</v>
      </c>
      <c r="C42" s="5" t="s">
        <v>104</v>
      </c>
      <c r="D42" s="6" t="s">
        <v>243</v>
      </c>
      <c r="E42" s="10" t="s">
        <v>169</v>
      </c>
      <c r="F42" s="7" t="n">
        <v>6</v>
      </c>
      <c r="G42" s="7" t="s">
        <v>62</v>
      </c>
      <c r="H42" s="7"/>
      <c r="I42" s="11"/>
    </row>
    <row r="43" customFormat="false" ht="27.75" hidden="false" customHeight="true" outlineLevel="0" collapsed="false">
      <c r="A43" s="5" t="s">
        <v>244</v>
      </c>
      <c r="B43" s="9" t="n">
        <v>5</v>
      </c>
      <c r="C43" s="5" t="s">
        <v>104</v>
      </c>
      <c r="D43" s="6" t="s">
        <v>245</v>
      </c>
      <c r="E43" s="10" t="s">
        <v>174</v>
      </c>
      <c r="F43" s="7" t="n">
        <v>2</v>
      </c>
      <c r="G43" s="7" t="s">
        <v>62</v>
      </c>
      <c r="H43" s="7"/>
      <c r="I43" s="11"/>
    </row>
    <row r="44" customFormat="false" ht="27.75" hidden="false" customHeight="true" outlineLevel="0" collapsed="false">
      <c r="A44" s="5" t="s">
        <v>246</v>
      </c>
      <c r="B44" s="9" t="n">
        <v>6</v>
      </c>
      <c r="C44" s="5" t="s">
        <v>109</v>
      </c>
      <c r="D44" s="6" t="s">
        <v>247</v>
      </c>
      <c r="E44" s="10" t="s">
        <v>160</v>
      </c>
      <c r="F44" s="7" t="n">
        <v>6</v>
      </c>
      <c r="G44" s="7" t="s">
        <v>177</v>
      </c>
      <c r="H44" s="7"/>
      <c r="I44" s="11"/>
    </row>
    <row r="45" customFormat="false" ht="27.75" hidden="false" customHeight="true" outlineLevel="0" collapsed="false">
      <c r="A45" s="5" t="s">
        <v>248</v>
      </c>
      <c r="B45" s="9" t="n">
        <v>6</v>
      </c>
      <c r="C45" s="5" t="s">
        <v>109</v>
      </c>
      <c r="D45" s="6" t="s">
        <v>249</v>
      </c>
      <c r="E45" s="10" t="s">
        <v>169</v>
      </c>
      <c r="F45" s="7" t="n">
        <v>2</v>
      </c>
      <c r="G45" s="7" t="s">
        <v>177</v>
      </c>
      <c r="H45" s="7"/>
      <c r="I45" s="11"/>
    </row>
    <row r="46" customFormat="false" ht="27.75" hidden="false" customHeight="true" outlineLevel="0" collapsed="false">
      <c r="A46" s="5" t="s">
        <v>250</v>
      </c>
      <c r="B46" s="9" t="n">
        <v>6</v>
      </c>
      <c r="C46" s="5" t="s">
        <v>112</v>
      </c>
      <c r="D46" s="6" t="s">
        <v>251</v>
      </c>
      <c r="E46" s="10" t="s">
        <v>169</v>
      </c>
      <c r="F46" s="7" t="n">
        <v>8</v>
      </c>
      <c r="G46" s="7" t="s">
        <v>177</v>
      </c>
      <c r="H46" s="7"/>
      <c r="I46" s="11"/>
    </row>
    <row r="47" customFormat="false" ht="27.75" hidden="false" customHeight="true" outlineLevel="0" collapsed="false">
      <c r="A47" s="5" t="s">
        <v>252</v>
      </c>
      <c r="B47" s="9" t="n">
        <v>6</v>
      </c>
      <c r="C47" s="5" t="s">
        <v>112</v>
      </c>
      <c r="D47" s="6" t="s">
        <v>253</v>
      </c>
      <c r="E47" s="10" t="s">
        <v>169</v>
      </c>
      <c r="F47" s="7" t="n">
        <v>4</v>
      </c>
      <c r="G47" s="7" t="s">
        <v>177</v>
      </c>
      <c r="H47" s="7"/>
      <c r="I47" s="11"/>
    </row>
    <row r="48" customFormat="false" ht="27.75" hidden="false" customHeight="true" outlineLevel="0" collapsed="false">
      <c r="A48" s="5" t="s">
        <v>254</v>
      </c>
      <c r="B48" s="9" t="n">
        <v>6</v>
      </c>
      <c r="C48" s="5" t="s">
        <v>117</v>
      </c>
      <c r="D48" s="6" t="s">
        <v>255</v>
      </c>
      <c r="E48" s="10" t="s">
        <v>174</v>
      </c>
      <c r="F48" s="7" t="n">
        <v>10</v>
      </c>
      <c r="G48" s="7" t="s">
        <v>177</v>
      </c>
      <c r="H48" s="7"/>
      <c r="I48" s="11"/>
    </row>
    <row r="49" customFormat="false" ht="27.75" hidden="false" customHeight="true" outlineLevel="0" collapsed="false">
      <c r="A49" s="5" t="s">
        <v>256</v>
      </c>
      <c r="B49" s="9" t="n">
        <v>6</v>
      </c>
      <c r="C49" s="5" t="s">
        <v>117</v>
      </c>
      <c r="D49" s="6" t="s">
        <v>257</v>
      </c>
      <c r="E49" s="10" t="s">
        <v>160</v>
      </c>
      <c r="F49" s="7" t="n">
        <v>10</v>
      </c>
      <c r="G49" s="7" t="s">
        <v>177</v>
      </c>
      <c r="H49" s="7"/>
      <c r="I49" s="11"/>
    </row>
    <row r="50" customFormat="false" ht="27.75" hidden="false" customHeight="true" outlineLevel="0" collapsed="false">
      <c r="A50" s="5" t="s">
        <v>258</v>
      </c>
      <c r="B50" s="9" t="n">
        <v>6</v>
      </c>
      <c r="C50" s="5" t="s">
        <v>117</v>
      </c>
      <c r="D50" s="6" t="s">
        <v>259</v>
      </c>
      <c r="E50" s="10" t="s">
        <v>174</v>
      </c>
      <c r="F50" s="7" t="n">
        <v>3</v>
      </c>
      <c r="G50" s="7" t="s">
        <v>177</v>
      </c>
      <c r="H50" s="7"/>
      <c r="I50" s="11"/>
    </row>
    <row r="51" customFormat="false" ht="27.75" hidden="false" customHeight="true" outlineLevel="0" collapsed="false">
      <c r="A51" s="5" t="s">
        <v>260</v>
      </c>
      <c r="B51" s="9" t="n">
        <v>6</v>
      </c>
      <c r="C51" s="5" t="s">
        <v>121</v>
      </c>
      <c r="D51" s="6" t="s">
        <v>261</v>
      </c>
      <c r="E51" s="10" t="s">
        <v>160</v>
      </c>
      <c r="F51" s="7" t="n">
        <v>6</v>
      </c>
      <c r="G51" s="7" t="s">
        <v>177</v>
      </c>
      <c r="H51" s="7"/>
      <c r="I51" s="11"/>
    </row>
    <row r="52" customFormat="false" ht="27.75" hidden="false" customHeight="true" outlineLevel="0" collapsed="false">
      <c r="A52" s="5" t="s">
        <v>262</v>
      </c>
      <c r="B52" s="9" t="n">
        <v>7</v>
      </c>
      <c r="C52" s="5" t="s">
        <v>124</v>
      </c>
      <c r="D52" s="6" t="s">
        <v>263</v>
      </c>
      <c r="E52" s="10" t="s">
        <v>169</v>
      </c>
      <c r="F52" s="7" t="n">
        <v>10</v>
      </c>
      <c r="G52" s="7" t="s">
        <v>177</v>
      </c>
      <c r="H52" s="7"/>
      <c r="I52" s="11"/>
    </row>
    <row r="53" customFormat="false" ht="27.75" hidden="false" customHeight="true" outlineLevel="0" collapsed="false">
      <c r="A53" s="5" t="s">
        <v>264</v>
      </c>
      <c r="B53" s="9" t="n">
        <v>7</v>
      </c>
      <c r="C53" s="5" t="s">
        <v>124</v>
      </c>
      <c r="D53" s="6" t="s">
        <v>265</v>
      </c>
      <c r="E53" s="10" t="s">
        <v>174</v>
      </c>
      <c r="F53" s="7" t="n">
        <v>3</v>
      </c>
      <c r="G53" s="7" t="s">
        <v>177</v>
      </c>
      <c r="H53" s="7"/>
      <c r="I53" s="11"/>
    </row>
    <row r="54" customFormat="false" ht="27.75" hidden="false" customHeight="true" outlineLevel="0" collapsed="false">
      <c r="A54" s="5" t="s">
        <v>266</v>
      </c>
      <c r="B54" s="9" t="n">
        <v>7</v>
      </c>
      <c r="C54" s="5" t="s">
        <v>128</v>
      </c>
      <c r="D54" s="6" t="s">
        <v>267</v>
      </c>
      <c r="E54" s="10" t="s">
        <v>169</v>
      </c>
      <c r="F54" s="7" t="n">
        <v>4</v>
      </c>
      <c r="G54" s="7" t="s">
        <v>177</v>
      </c>
      <c r="H54" s="7"/>
      <c r="I54" s="11"/>
    </row>
    <row r="55" customFormat="false" ht="27.75" hidden="false" customHeight="true" outlineLevel="0" collapsed="false">
      <c r="A55" s="5" t="s">
        <v>268</v>
      </c>
      <c r="B55" s="9" t="n">
        <v>7</v>
      </c>
      <c r="C55" s="5" t="s">
        <v>133</v>
      </c>
      <c r="D55" s="6" t="s">
        <v>269</v>
      </c>
      <c r="E55" s="10" t="s">
        <v>160</v>
      </c>
      <c r="F55" s="7" t="n">
        <v>4</v>
      </c>
      <c r="G55" s="7" t="s">
        <v>177</v>
      </c>
      <c r="H55" s="7"/>
      <c r="I55" s="11"/>
    </row>
    <row r="56" customFormat="false" ht="27.75" hidden="false" customHeight="true" outlineLevel="0" collapsed="false">
      <c r="A56" s="5" t="s">
        <v>270</v>
      </c>
      <c r="B56" s="9" t="n">
        <v>7</v>
      </c>
      <c r="C56" s="5" t="s">
        <v>137</v>
      </c>
      <c r="D56" s="6" t="s">
        <v>271</v>
      </c>
      <c r="E56" s="10" t="s">
        <v>174</v>
      </c>
      <c r="F56" s="7" t="n">
        <v>4</v>
      </c>
      <c r="G56" s="7" t="s">
        <v>177</v>
      </c>
      <c r="H56" s="7"/>
      <c r="I56" s="11"/>
    </row>
    <row r="57" customFormat="false" ht="27.75" hidden="false" customHeight="true" outlineLevel="0" collapsed="false">
      <c r="A57" s="5" t="s">
        <v>272</v>
      </c>
      <c r="B57" s="9" t="n">
        <v>7</v>
      </c>
      <c r="C57" s="5" t="s">
        <v>137</v>
      </c>
      <c r="D57" s="6" t="s">
        <v>273</v>
      </c>
      <c r="E57" s="10" t="s">
        <v>169</v>
      </c>
      <c r="F57" s="7" t="n">
        <v>4</v>
      </c>
      <c r="G57" s="7" t="s">
        <v>177</v>
      </c>
      <c r="H57" s="7"/>
      <c r="I57" s="11"/>
    </row>
    <row r="58" customFormat="false" ht="27.75" hidden="false" customHeight="true" outlineLevel="0" collapsed="false">
      <c r="A58" s="5" t="s">
        <v>274</v>
      </c>
      <c r="B58" s="9" t="n">
        <v>7</v>
      </c>
      <c r="C58" s="5" t="s">
        <v>140</v>
      </c>
      <c r="D58" s="6" t="s">
        <v>275</v>
      </c>
      <c r="E58" s="10" t="s">
        <v>169</v>
      </c>
      <c r="F58" s="7" t="n">
        <v>10</v>
      </c>
      <c r="G58" s="7" t="s">
        <v>177</v>
      </c>
      <c r="H58" s="7"/>
      <c r="I58" s="11"/>
    </row>
    <row r="59" customFormat="false" ht="27.75" hidden="false" customHeight="true" outlineLevel="0" collapsed="false">
      <c r="A59" s="5" t="s">
        <v>276</v>
      </c>
      <c r="B59" s="9" t="n">
        <v>7</v>
      </c>
      <c r="C59" s="5" t="s">
        <v>140</v>
      </c>
      <c r="D59" s="6" t="s">
        <v>277</v>
      </c>
      <c r="E59" s="10" t="s">
        <v>174</v>
      </c>
      <c r="F59" s="7" t="n">
        <v>6</v>
      </c>
      <c r="G59" s="7" t="s">
        <v>177</v>
      </c>
      <c r="H59" s="7"/>
      <c r="I59" s="11"/>
    </row>
    <row r="60" customFormat="false" ht="27.75" hidden="false" customHeight="true" outlineLevel="0" collapsed="false">
      <c r="A60" s="5" t="s">
        <v>278</v>
      </c>
      <c r="B60" s="9" t="n">
        <v>7</v>
      </c>
      <c r="C60" s="5" t="s">
        <v>140</v>
      </c>
      <c r="D60" s="6" t="s">
        <v>279</v>
      </c>
      <c r="E60" s="10" t="s">
        <v>160</v>
      </c>
      <c r="F60" s="7" t="n">
        <v>3</v>
      </c>
      <c r="G60" s="7" t="s">
        <v>177</v>
      </c>
      <c r="H60" s="7"/>
      <c r="I60" s="11"/>
    </row>
  </sheetData>
  <autoFilter ref="A1:I60"/>
  <conditionalFormatting sqref="G2:G60">
    <cfRule type="cellIs" priority="2" operator="equal" aboveAverage="0" equalAverage="0" bottom="0" percent="0" rank="0" text="" dxfId="8">
      <formula>"Hecho"</formula>
    </cfRule>
    <cfRule type="cellIs" priority="3" operator="equal" aboveAverage="0" equalAverage="0" bottom="0" percent="0" rank="0" text="" dxfId="9">
      <formula>"En curso"</formula>
    </cfRule>
    <cfRule type="cellIs" priority="4" operator="equal" aboveAverage="0" equalAverage="0" bottom="0" percent="0" rank="0" text="" dxfId="10">
      <formula>"Por hacer"</formula>
    </cfRule>
  </conditionalFormatting>
  <dataValidations count="2">
    <dataValidation allowBlank="false" errorStyle="stop" operator="between" showDropDown="false" showErrorMessage="false" showInputMessage="false" sqref="G2:G60" type="list">
      <formula1>"Por hacer,En curso,Hecho"</formula1>
      <formula2>0</formula2>
    </dataValidation>
    <dataValidation allowBlank="false" errorStyle="stop" operator="between" showDropDown="false" showErrorMessage="false" showInputMessage="false" sqref="E2:E60" type="list">
      <formula1>"Jorge Berroeta,Renato Carreño,Camilo Rojas"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18"/>
    <col collapsed="false" customWidth="true" hidden="false" outlineLevel="0" max="5" min="4" style="0" width="14"/>
    <col collapsed="false" customWidth="true" hidden="false" outlineLevel="0" max="6" min="6" style="0" width="11"/>
    <col collapsed="false" customWidth="true" hidden="false" outlineLevel="0" max="7" min="7" style="0" width="14"/>
    <col collapsed="false" customWidth="true" hidden="false" outlineLevel="0" max="8" min="8" style="0" width="12"/>
    <col collapsed="false" customWidth="true" hidden="false" outlineLevel="0" max="9" min="9" style="0" width="30"/>
    <col collapsed="false" customWidth="true" hidden="false" outlineLevel="0" max="10" min="10" style="0" width="44"/>
    <col collapsed="false" customWidth="true" hidden="false" outlineLevel="0" max="11" min="11" style="0" width="34"/>
  </cols>
  <sheetData>
    <row r="1" customFormat="false" ht="31.5" hidden="false" customHeight="true" outlineLevel="0" collapsed="false">
      <c r="A1" s="4" t="s">
        <v>280</v>
      </c>
      <c r="B1" s="4" t="s">
        <v>19</v>
      </c>
      <c r="C1" s="4" t="s">
        <v>281</v>
      </c>
      <c r="D1" s="4" t="s">
        <v>282</v>
      </c>
      <c r="E1" s="4" t="s">
        <v>283</v>
      </c>
      <c r="F1" s="4" t="s">
        <v>284</v>
      </c>
      <c r="G1" s="4" t="s">
        <v>285</v>
      </c>
      <c r="H1" s="4" t="s">
        <v>286</v>
      </c>
      <c r="I1" s="4" t="s">
        <v>287</v>
      </c>
      <c r="J1" s="4" t="s">
        <v>288</v>
      </c>
      <c r="K1" s="4" t="s">
        <v>289</v>
      </c>
    </row>
    <row r="2" customFormat="false" ht="27.75" hidden="false" customHeight="true" outlineLevel="0" collapsed="false">
      <c r="A2" s="5" t="n">
        <v>1</v>
      </c>
      <c r="B2" s="9" t="n">
        <v>1</v>
      </c>
      <c r="C2" s="6" t="s">
        <v>290</v>
      </c>
      <c r="D2" s="5" t="s">
        <v>291</v>
      </c>
      <c r="E2" s="12" t="n">
        <v>46272</v>
      </c>
      <c r="F2" s="7" t="s">
        <v>292</v>
      </c>
      <c r="G2" s="11"/>
      <c r="H2" s="7"/>
      <c r="I2" s="10"/>
      <c r="J2" s="10"/>
      <c r="K2" s="10"/>
    </row>
    <row r="3" customFormat="false" ht="27.75" hidden="false" customHeight="true" outlineLevel="0" collapsed="false">
      <c r="A3" s="5" t="n">
        <v>2</v>
      </c>
      <c r="B3" s="9" t="n">
        <v>1</v>
      </c>
      <c r="C3" s="6" t="s">
        <v>293</v>
      </c>
      <c r="D3" s="5" t="s">
        <v>291</v>
      </c>
      <c r="E3" s="12" t="n">
        <v>46274</v>
      </c>
      <c r="F3" s="7" t="s">
        <v>292</v>
      </c>
      <c r="G3" s="11"/>
      <c r="H3" s="7"/>
      <c r="I3" s="10"/>
      <c r="J3" s="10"/>
      <c r="K3" s="10"/>
    </row>
    <row r="4" customFormat="false" ht="27.75" hidden="false" customHeight="true" outlineLevel="0" collapsed="false">
      <c r="A4" s="5" t="n">
        <v>3</v>
      </c>
      <c r="B4" s="9" t="n">
        <v>1</v>
      </c>
      <c r="C4" s="6" t="s">
        <v>294</v>
      </c>
      <c r="D4" s="5" t="s">
        <v>295</v>
      </c>
      <c r="E4" s="12" t="n">
        <v>46281</v>
      </c>
      <c r="F4" s="7" t="s">
        <v>292</v>
      </c>
      <c r="G4" s="11"/>
      <c r="H4" s="7"/>
      <c r="I4" s="10"/>
      <c r="J4" s="10"/>
      <c r="K4" s="10"/>
    </row>
    <row r="5" customFormat="false" ht="27.75" hidden="false" customHeight="true" outlineLevel="0" collapsed="false">
      <c r="A5" s="5" t="n">
        <v>4</v>
      </c>
      <c r="B5" s="9" t="n">
        <v>1</v>
      </c>
      <c r="C5" s="6" t="s">
        <v>296</v>
      </c>
      <c r="D5" s="5" t="s">
        <v>295</v>
      </c>
      <c r="E5" s="12" t="n">
        <v>46283</v>
      </c>
      <c r="F5" s="7" t="s">
        <v>292</v>
      </c>
      <c r="G5" s="11"/>
      <c r="H5" s="7"/>
      <c r="I5" s="10"/>
      <c r="J5" s="10"/>
      <c r="K5" s="10"/>
    </row>
    <row r="6" customFormat="false" ht="27.75" hidden="false" customHeight="true" outlineLevel="0" collapsed="false">
      <c r="A6" s="5" t="n">
        <v>5</v>
      </c>
      <c r="B6" s="9" t="n">
        <v>1</v>
      </c>
      <c r="C6" s="6" t="s">
        <v>297</v>
      </c>
      <c r="D6" s="5" t="s">
        <v>295</v>
      </c>
      <c r="E6" s="12" t="n">
        <v>46283</v>
      </c>
      <c r="F6" s="7" t="s">
        <v>292</v>
      </c>
      <c r="G6" s="11"/>
      <c r="H6" s="7"/>
      <c r="I6" s="10"/>
      <c r="J6" s="10"/>
      <c r="K6" s="10"/>
    </row>
    <row r="7" customFormat="false" ht="27.75" hidden="false" customHeight="true" outlineLevel="0" collapsed="false">
      <c r="A7" s="5" t="n">
        <v>6</v>
      </c>
      <c r="B7" s="9" t="n">
        <v>2</v>
      </c>
      <c r="C7" s="6" t="s">
        <v>290</v>
      </c>
      <c r="D7" s="5" t="s">
        <v>298</v>
      </c>
      <c r="E7" s="12" t="n">
        <v>46286</v>
      </c>
      <c r="F7" s="7" t="s">
        <v>292</v>
      </c>
      <c r="G7" s="11"/>
      <c r="H7" s="7"/>
      <c r="I7" s="10"/>
      <c r="J7" s="10"/>
      <c r="K7" s="10"/>
    </row>
    <row r="8" customFormat="false" ht="27.75" hidden="false" customHeight="true" outlineLevel="0" collapsed="false">
      <c r="A8" s="5" t="n">
        <v>7</v>
      </c>
      <c r="B8" s="9" t="n">
        <v>2</v>
      </c>
      <c r="C8" s="6" t="s">
        <v>293</v>
      </c>
      <c r="D8" s="5" t="s">
        <v>298</v>
      </c>
      <c r="E8" s="12" t="n">
        <v>46288</v>
      </c>
      <c r="F8" s="7" t="s">
        <v>292</v>
      </c>
      <c r="G8" s="11"/>
      <c r="H8" s="7"/>
      <c r="I8" s="10"/>
      <c r="J8" s="10"/>
      <c r="K8" s="10"/>
    </row>
    <row r="9" customFormat="false" ht="27.75" hidden="false" customHeight="true" outlineLevel="0" collapsed="false">
      <c r="A9" s="5" t="n">
        <v>8</v>
      </c>
      <c r="B9" s="9" t="n">
        <v>2</v>
      </c>
      <c r="C9" s="6" t="s">
        <v>294</v>
      </c>
      <c r="D9" s="5" t="s">
        <v>299</v>
      </c>
      <c r="E9" s="12" t="n">
        <v>46295</v>
      </c>
      <c r="F9" s="7" t="s">
        <v>292</v>
      </c>
      <c r="G9" s="11"/>
      <c r="H9" s="7"/>
      <c r="I9" s="10"/>
      <c r="J9" s="10"/>
      <c r="K9" s="10"/>
    </row>
    <row r="10" customFormat="false" ht="27.75" hidden="false" customHeight="true" outlineLevel="0" collapsed="false">
      <c r="A10" s="5" t="n">
        <v>9</v>
      </c>
      <c r="B10" s="9" t="n">
        <v>2</v>
      </c>
      <c r="C10" s="6" t="s">
        <v>296</v>
      </c>
      <c r="D10" s="5" t="s">
        <v>299</v>
      </c>
      <c r="E10" s="12" t="n">
        <v>46297</v>
      </c>
      <c r="F10" s="7" t="s">
        <v>292</v>
      </c>
      <c r="G10" s="11"/>
      <c r="H10" s="7"/>
      <c r="I10" s="10"/>
      <c r="J10" s="10"/>
      <c r="K10" s="10"/>
    </row>
    <row r="11" customFormat="false" ht="27.75" hidden="false" customHeight="true" outlineLevel="0" collapsed="false">
      <c r="A11" s="5" t="n">
        <v>10</v>
      </c>
      <c r="B11" s="9" t="n">
        <v>2</v>
      </c>
      <c r="C11" s="6" t="s">
        <v>297</v>
      </c>
      <c r="D11" s="5" t="s">
        <v>299</v>
      </c>
      <c r="E11" s="12" t="n">
        <v>46297</v>
      </c>
      <c r="F11" s="7" t="s">
        <v>292</v>
      </c>
      <c r="G11" s="11"/>
      <c r="H11" s="7"/>
      <c r="I11" s="10"/>
      <c r="J11" s="10"/>
      <c r="K11" s="10"/>
    </row>
    <row r="12" customFormat="false" ht="27.75" hidden="false" customHeight="true" outlineLevel="0" collapsed="false">
      <c r="A12" s="5" t="n">
        <v>11</v>
      </c>
      <c r="B12" s="9" t="n">
        <v>3</v>
      </c>
      <c r="C12" s="6" t="s">
        <v>290</v>
      </c>
      <c r="D12" s="5" t="s">
        <v>300</v>
      </c>
      <c r="E12" s="12" t="n">
        <v>46300</v>
      </c>
      <c r="F12" s="7" t="s">
        <v>292</v>
      </c>
      <c r="G12" s="11"/>
      <c r="H12" s="7"/>
      <c r="I12" s="10"/>
      <c r="J12" s="10"/>
      <c r="K12" s="10"/>
    </row>
    <row r="13" customFormat="false" ht="27.75" hidden="false" customHeight="true" outlineLevel="0" collapsed="false">
      <c r="A13" s="5" t="n">
        <v>12</v>
      </c>
      <c r="B13" s="9" t="n">
        <v>3</v>
      </c>
      <c r="C13" s="6" t="s">
        <v>293</v>
      </c>
      <c r="D13" s="5" t="s">
        <v>300</v>
      </c>
      <c r="E13" s="12" t="n">
        <v>46302</v>
      </c>
      <c r="F13" s="7" t="s">
        <v>292</v>
      </c>
      <c r="G13" s="11"/>
      <c r="H13" s="7"/>
      <c r="I13" s="10"/>
      <c r="J13" s="10"/>
      <c r="K13" s="10"/>
    </row>
    <row r="14" customFormat="false" ht="27.75" hidden="false" customHeight="true" outlineLevel="0" collapsed="false">
      <c r="A14" s="5" t="n">
        <v>13</v>
      </c>
      <c r="B14" s="9" t="n">
        <v>3</v>
      </c>
      <c r="C14" s="6" t="s">
        <v>294</v>
      </c>
      <c r="D14" s="5" t="s">
        <v>301</v>
      </c>
      <c r="E14" s="12" t="n">
        <v>46309</v>
      </c>
      <c r="F14" s="7" t="s">
        <v>292</v>
      </c>
      <c r="G14" s="11"/>
      <c r="H14" s="7"/>
      <c r="I14" s="10"/>
      <c r="J14" s="10"/>
      <c r="K14" s="10"/>
    </row>
    <row r="15" customFormat="false" ht="27.75" hidden="false" customHeight="true" outlineLevel="0" collapsed="false">
      <c r="A15" s="5" t="n">
        <v>14</v>
      </c>
      <c r="B15" s="9" t="n">
        <v>3</v>
      </c>
      <c r="C15" s="6" t="s">
        <v>296</v>
      </c>
      <c r="D15" s="5" t="s">
        <v>301</v>
      </c>
      <c r="E15" s="12" t="n">
        <v>46311</v>
      </c>
      <c r="F15" s="7" t="s">
        <v>292</v>
      </c>
      <c r="G15" s="11"/>
      <c r="H15" s="7"/>
      <c r="I15" s="10"/>
      <c r="J15" s="10"/>
      <c r="K15" s="10"/>
    </row>
    <row r="16" customFormat="false" ht="27.75" hidden="false" customHeight="true" outlineLevel="0" collapsed="false">
      <c r="A16" s="5" t="n">
        <v>15</v>
      </c>
      <c r="B16" s="9" t="n">
        <v>3</v>
      </c>
      <c r="C16" s="6" t="s">
        <v>297</v>
      </c>
      <c r="D16" s="5" t="s">
        <v>301</v>
      </c>
      <c r="E16" s="12" t="n">
        <v>46311</v>
      </c>
      <c r="F16" s="7" t="s">
        <v>292</v>
      </c>
      <c r="G16" s="11"/>
      <c r="H16" s="7"/>
      <c r="I16" s="10"/>
      <c r="J16" s="10"/>
      <c r="K16" s="10"/>
    </row>
    <row r="17" customFormat="false" ht="27.75" hidden="false" customHeight="true" outlineLevel="0" collapsed="false">
      <c r="A17" s="5" t="n">
        <v>16</v>
      </c>
      <c r="B17" s="9" t="n">
        <v>4</v>
      </c>
      <c r="C17" s="6" t="s">
        <v>290</v>
      </c>
      <c r="D17" s="5" t="s">
        <v>302</v>
      </c>
      <c r="E17" s="12" t="n">
        <v>46314</v>
      </c>
      <c r="F17" s="7" t="s">
        <v>292</v>
      </c>
      <c r="G17" s="11"/>
      <c r="H17" s="7"/>
      <c r="I17" s="10"/>
      <c r="J17" s="10"/>
      <c r="K17" s="10"/>
    </row>
    <row r="18" customFormat="false" ht="27.75" hidden="false" customHeight="true" outlineLevel="0" collapsed="false">
      <c r="A18" s="5" t="n">
        <v>17</v>
      </c>
      <c r="B18" s="9" t="n">
        <v>4</v>
      </c>
      <c r="C18" s="6" t="s">
        <v>293</v>
      </c>
      <c r="D18" s="5" t="s">
        <v>302</v>
      </c>
      <c r="E18" s="12" t="n">
        <v>46316</v>
      </c>
      <c r="F18" s="7" t="s">
        <v>292</v>
      </c>
      <c r="G18" s="11"/>
      <c r="H18" s="7"/>
      <c r="I18" s="10"/>
      <c r="J18" s="10"/>
      <c r="K18" s="10"/>
    </row>
    <row r="19" customFormat="false" ht="27.75" hidden="false" customHeight="true" outlineLevel="0" collapsed="false">
      <c r="A19" s="5" t="n">
        <v>18</v>
      </c>
      <c r="B19" s="9" t="n">
        <v>4</v>
      </c>
      <c r="C19" s="6" t="s">
        <v>294</v>
      </c>
      <c r="D19" s="5" t="s">
        <v>303</v>
      </c>
      <c r="E19" s="12" t="n">
        <v>46323</v>
      </c>
      <c r="F19" s="7" t="s">
        <v>292</v>
      </c>
      <c r="G19" s="11"/>
      <c r="H19" s="7"/>
      <c r="I19" s="10"/>
      <c r="J19" s="10"/>
      <c r="K19" s="10"/>
    </row>
    <row r="20" customFormat="false" ht="27.75" hidden="false" customHeight="true" outlineLevel="0" collapsed="false">
      <c r="A20" s="5" t="n">
        <v>19</v>
      </c>
      <c r="B20" s="9" t="n">
        <v>4</v>
      </c>
      <c r="C20" s="6" t="s">
        <v>296</v>
      </c>
      <c r="D20" s="5" t="s">
        <v>303</v>
      </c>
      <c r="E20" s="12" t="n">
        <v>46325</v>
      </c>
      <c r="F20" s="7" t="s">
        <v>292</v>
      </c>
      <c r="G20" s="11"/>
      <c r="H20" s="7"/>
      <c r="I20" s="10"/>
      <c r="J20" s="10"/>
      <c r="K20" s="10"/>
    </row>
    <row r="21" customFormat="false" ht="27.75" hidden="false" customHeight="true" outlineLevel="0" collapsed="false">
      <c r="A21" s="5" t="n">
        <v>20</v>
      </c>
      <c r="B21" s="9" t="n">
        <v>4</v>
      </c>
      <c r="C21" s="6" t="s">
        <v>297</v>
      </c>
      <c r="D21" s="5" t="s">
        <v>303</v>
      </c>
      <c r="E21" s="12" t="n">
        <v>46325</v>
      </c>
      <c r="F21" s="7" t="s">
        <v>292</v>
      </c>
      <c r="G21" s="11"/>
      <c r="H21" s="7"/>
      <c r="I21" s="10"/>
      <c r="J21" s="10"/>
      <c r="K21" s="10"/>
    </row>
    <row r="22" customFormat="false" ht="27.75" hidden="false" customHeight="true" outlineLevel="0" collapsed="false">
      <c r="A22" s="5" t="n">
        <v>21</v>
      </c>
      <c r="B22" s="9" t="n">
        <v>5</v>
      </c>
      <c r="C22" s="6" t="s">
        <v>290</v>
      </c>
      <c r="D22" s="5" t="s">
        <v>304</v>
      </c>
      <c r="E22" s="12" t="n">
        <v>46328</v>
      </c>
      <c r="F22" s="7" t="s">
        <v>292</v>
      </c>
      <c r="G22" s="11"/>
      <c r="H22" s="7"/>
      <c r="I22" s="10"/>
      <c r="J22" s="10"/>
      <c r="K22" s="10"/>
    </row>
    <row r="23" customFormat="false" ht="27.75" hidden="false" customHeight="true" outlineLevel="0" collapsed="false">
      <c r="A23" s="5" t="n">
        <v>22</v>
      </c>
      <c r="B23" s="9" t="n">
        <v>5</v>
      </c>
      <c r="C23" s="6" t="s">
        <v>293</v>
      </c>
      <c r="D23" s="5" t="s">
        <v>304</v>
      </c>
      <c r="E23" s="12" t="n">
        <v>46330</v>
      </c>
      <c r="F23" s="7" t="s">
        <v>292</v>
      </c>
      <c r="G23" s="11"/>
      <c r="H23" s="7"/>
      <c r="I23" s="10"/>
      <c r="J23" s="10"/>
      <c r="K23" s="10"/>
    </row>
    <row r="24" customFormat="false" ht="27.75" hidden="false" customHeight="true" outlineLevel="0" collapsed="false">
      <c r="A24" s="5" t="n">
        <v>23</v>
      </c>
      <c r="B24" s="9" t="n">
        <v>5</v>
      </c>
      <c r="C24" s="6" t="s">
        <v>294</v>
      </c>
      <c r="D24" s="5" t="s">
        <v>305</v>
      </c>
      <c r="E24" s="12" t="n">
        <v>46337</v>
      </c>
      <c r="F24" s="7" t="s">
        <v>292</v>
      </c>
      <c r="G24" s="11"/>
      <c r="H24" s="7"/>
      <c r="I24" s="10"/>
      <c r="J24" s="10"/>
      <c r="K24" s="10"/>
    </row>
    <row r="25" customFormat="false" ht="27.75" hidden="false" customHeight="true" outlineLevel="0" collapsed="false">
      <c r="A25" s="5" t="n">
        <v>24</v>
      </c>
      <c r="B25" s="9" t="n">
        <v>5</v>
      </c>
      <c r="C25" s="6" t="s">
        <v>296</v>
      </c>
      <c r="D25" s="5" t="s">
        <v>305</v>
      </c>
      <c r="E25" s="12" t="n">
        <v>46339</v>
      </c>
      <c r="F25" s="7" t="s">
        <v>292</v>
      </c>
      <c r="G25" s="11"/>
      <c r="H25" s="7"/>
      <c r="I25" s="10"/>
      <c r="J25" s="10"/>
      <c r="K25" s="10"/>
    </row>
    <row r="26" customFormat="false" ht="27.75" hidden="false" customHeight="true" outlineLevel="0" collapsed="false">
      <c r="A26" s="5" t="n">
        <v>25</v>
      </c>
      <c r="B26" s="9" t="n">
        <v>5</v>
      </c>
      <c r="C26" s="6" t="s">
        <v>297</v>
      </c>
      <c r="D26" s="5" t="s">
        <v>305</v>
      </c>
      <c r="E26" s="12" t="n">
        <v>46339</v>
      </c>
      <c r="F26" s="7" t="s">
        <v>292</v>
      </c>
      <c r="G26" s="11"/>
      <c r="H26" s="7"/>
      <c r="I26" s="10"/>
      <c r="J26" s="10"/>
      <c r="K26" s="10"/>
    </row>
    <row r="27" customFormat="false" ht="27.75" hidden="false" customHeight="true" outlineLevel="0" collapsed="false">
      <c r="A27" s="5" t="n">
        <v>26</v>
      </c>
      <c r="B27" s="9" t="n">
        <v>6</v>
      </c>
      <c r="C27" s="6" t="s">
        <v>290</v>
      </c>
      <c r="D27" s="5" t="s">
        <v>306</v>
      </c>
      <c r="E27" s="12" t="n">
        <v>46342</v>
      </c>
      <c r="F27" s="7" t="s">
        <v>292</v>
      </c>
      <c r="G27" s="11"/>
      <c r="H27" s="7"/>
      <c r="I27" s="10"/>
      <c r="J27" s="10"/>
      <c r="K27" s="10"/>
    </row>
    <row r="28" customFormat="false" ht="27.75" hidden="false" customHeight="true" outlineLevel="0" collapsed="false">
      <c r="A28" s="5" t="n">
        <v>27</v>
      </c>
      <c r="B28" s="9" t="n">
        <v>6</v>
      </c>
      <c r="C28" s="6" t="s">
        <v>293</v>
      </c>
      <c r="D28" s="5" t="s">
        <v>306</v>
      </c>
      <c r="E28" s="12" t="n">
        <v>46344</v>
      </c>
      <c r="F28" s="7" t="s">
        <v>292</v>
      </c>
      <c r="G28" s="11"/>
      <c r="H28" s="7"/>
      <c r="I28" s="10"/>
      <c r="J28" s="10"/>
      <c r="K28" s="10"/>
    </row>
    <row r="29" customFormat="false" ht="27.75" hidden="false" customHeight="true" outlineLevel="0" collapsed="false">
      <c r="A29" s="5" t="n">
        <v>28</v>
      </c>
      <c r="B29" s="9" t="n">
        <v>6</v>
      </c>
      <c r="C29" s="6" t="s">
        <v>294</v>
      </c>
      <c r="D29" s="5" t="s">
        <v>307</v>
      </c>
      <c r="E29" s="12" t="n">
        <v>46351</v>
      </c>
      <c r="F29" s="7" t="s">
        <v>292</v>
      </c>
      <c r="G29" s="11"/>
      <c r="H29" s="7"/>
      <c r="I29" s="10"/>
      <c r="J29" s="10"/>
      <c r="K29" s="10"/>
    </row>
    <row r="30" customFormat="false" ht="27.75" hidden="false" customHeight="true" outlineLevel="0" collapsed="false">
      <c r="A30" s="5" t="n">
        <v>29</v>
      </c>
      <c r="B30" s="9" t="n">
        <v>6</v>
      </c>
      <c r="C30" s="6" t="s">
        <v>296</v>
      </c>
      <c r="D30" s="5" t="s">
        <v>307</v>
      </c>
      <c r="E30" s="12" t="n">
        <v>46353</v>
      </c>
      <c r="F30" s="7" t="s">
        <v>292</v>
      </c>
      <c r="G30" s="11"/>
      <c r="H30" s="7"/>
      <c r="I30" s="10"/>
      <c r="J30" s="10"/>
      <c r="K30" s="10"/>
    </row>
    <row r="31" customFormat="false" ht="27.75" hidden="false" customHeight="true" outlineLevel="0" collapsed="false">
      <c r="A31" s="5" t="n">
        <v>30</v>
      </c>
      <c r="B31" s="9" t="n">
        <v>6</v>
      </c>
      <c r="C31" s="6" t="s">
        <v>297</v>
      </c>
      <c r="D31" s="5" t="s">
        <v>307</v>
      </c>
      <c r="E31" s="12" t="n">
        <v>46353</v>
      </c>
      <c r="F31" s="7" t="s">
        <v>292</v>
      </c>
      <c r="G31" s="11"/>
      <c r="H31" s="7"/>
      <c r="I31" s="10"/>
      <c r="J31" s="10"/>
      <c r="K31" s="10"/>
    </row>
    <row r="32" customFormat="false" ht="27.75" hidden="false" customHeight="true" outlineLevel="0" collapsed="false">
      <c r="A32" s="5" t="n">
        <v>31</v>
      </c>
      <c r="B32" s="9" t="n">
        <v>7</v>
      </c>
      <c r="C32" s="6" t="s">
        <v>290</v>
      </c>
      <c r="D32" s="5" t="s">
        <v>308</v>
      </c>
      <c r="E32" s="12" t="n">
        <v>46356</v>
      </c>
      <c r="F32" s="7" t="s">
        <v>292</v>
      </c>
      <c r="G32" s="11"/>
      <c r="H32" s="7"/>
      <c r="I32" s="10"/>
      <c r="J32" s="10"/>
      <c r="K32" s="10"/>
    </row>
    <row r="33" customFormat="false" ht="27.75" hidden="false" customHeight="true" outlineLevel="0" collapsed="false">
      <c r="A33" s="5" t="n">
        <v>32</v>
      </c>
      <c r="B33" s="9" t="n">
        <v>7</v>
      </c>
      <c r="C33" s="6" t="s">
        <v>293</v>
      </c>
      <c r="D33" s="5" t="s">
        <v>308</v>
      </c>
      <c r="E33" s="12" t="n">
        <v>46358</v>
      </c>
      <c r="F33" s="7" t="s">
        <v>292</v>
      </c>
      <c r="G33" s="11"/>
      <c r="H33" s="7"/>
      <c r="I33" s="10"/>
      <c r="J33" s="10"/>
      <c r="K33" s="10"/>
    </row>
    <row r="34" customFormat="false" ht="27.75" hidden="false" customHeight="true" outlineLevel="0" collapsed="false">
      <c r="A34" s="5" t="n">
        <v>33</v>
      </c>
      <c r="B34" s="9" t="n">
        <v>7</v>
      </c>
      <c r="C34" s="6" t="s">
        <v>294</v>
      </c>
      <c r="D34" s="5" t="s">
        <v>309</v>
      </c>
      <c r="E34" s="12" t="n">
        <v>46365</v>
      </c>
      <c r="F34" s="7" t="s">
        <v>292</v>
      </c>
      <c r="G34" s="11"/>
      <c r="H34" s="7"/>
      <c r="I34" s="10"/>
      <c r="J34" s="10"/>
      <c r="K34" s="10"/>
    </row>
    <row r="35" customFormat="false" ht="27.75" hidden="false" customHeight="true" outlineLevel="0" collapsed="false">
      <c r="A35" s="5" t="n">
        <v>34</v>
      </c>
      <c r="B35" s="9" t="n">
        <v>7</v>
      </c>
      <c r="C35" s="6" t="s">
        <v>296</v>
      </c>
      <c r="D35" s="5" t="s">
        <v>309</v>
      </c>
      <c r="E35" s="12" t="n">
        <v>46367</v>
      </c>
      <c r="F35" s="7" t="s">
        <v>292</v>
      </c>
      <c r="G35" s="11"/>
      <c r="H35" s="7"/>
      <c r="I35" s="10"/>
      <c r="J35" s="10"/>
      <c r="K35" s="10"/>
    </row>
    <row r="36" customFormat="false" ht="27.75" hidden="false" customHeight="true" outlineLevel="0" collapsed="false">
      <c r="A36" s="5" t="n">
        <v>35</v>
      </c>
      <c r="B36" s="9" t="n">
        <v>7</v>
      </c>
      <c r="C36" s="6" t="s">
        <v>297</v>
      </c>
      <c r="D36" s="5" t="s">
        <v>309</v>
      </c>
      <c r="E36" s="12" t="n">
        <v>46367</v>
      </c>
      <c r="F36" s="7" t="s">
        <v>292</v>
      </c>
      <c r="G36" s="11"/>
      <c r="H36" s="7"/>
      <c r="I36" s="10"/>
      <c r="J36" s="10"/>
      <c r="K36" s="10"/>
    </row>
  </sheetData>
  <autoFilter ref="A1:K36"/>
  <conditionalFormatting sqref="F2:F36">
    <cfRule type="cellIs" priority="2" operator="equal" aboveAverage="0" equalAverage="0" bottom="0" percent="0" rank="0" text="" dxfId="8">
      <formula>"Sí"</formula>
    </cfRule>
  </conditionalFormatting>
  <dataValidations count="1">
    <dataValidation allowBlank="false" errorStyle="stop" operator="between" showDropDown="false" showErrorMessage="false" showInputMessage="false" sqref="F2:F36"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16"/>
    <col collapsed="false" customWidth="true" hidden="false" outlineLevel="0" max="5" min="4" style="0" width="14"/>
    <col collapsed="false" customWidth="true" hidden="false" outlineLevel="0" max="6" min="6" style="0" width="20"/>
    <col collapsed="false" customWidth="true" hidden="false" outlineLevel="0" max="7" min="7" style="0" width="14"/>
    <col collapsed="false" customWidth="true" hidden="false" outlineLevel="0" max="10" min="8" style="0" width="13"/>
  </cols>
  <sheetData>
    <row r="1" customFormat="false" ht="17.35" hidden="false" customHeight="false" outlineLevel="0" collapsed="false">
      <c r="A1" s="1" t="s">
        <v>310</v>
      </c>
    </row>
    <row r="2" customFormat="false" ht="15" hidden="false" customHeight="false" outlineLevel="0" collapsed="false">
      <c r="A2" s="13" t="s">
        <v>311</v>
      </c>
    </row>
    <row r="4" customFormat="false" ht="31.5" hidden="false" customHeight="true" outlineLevel="0" collapsed="false">
      <c r="A4" s="4" t="s">
        <v>19</v>
      </c>
      <c r="B4" s="4" t="s">
        <v>312</v>
      </c>
      <c r="C4" s="4" t="s">
        <v>313</v>
      </c>
      <c r="D4" s="4" t="s">
        <v>314</v>
      </c>
      <c r="E4" s="4" t="s">
        <v>315</v>
      </c>
      <c r="F4" s="4" t="s">
        <v>316</v>
      </c>
      <c r="G4" s="4" t="s">
        <v>155</v>
      </c>
      <c r="H4" s="4" t="s">
        <v>156</v>
      </c>
      <c r="I4" s="4" t="s">
        <v>317</v>
      </c>
      <c r="J4" s="4" t="s">
        <v>318</v>
      </c>
    </row>
    <row r="5" customFormat="false" ht="15" hidden="false" customHeight="false" outlineLevel="0" collapsed="false">
      <c r="A5" s="14" t="n">
        <v>1</v>
      </c>
      <c r="B5" s="15" t="s">
        <v>319</v>
      </c>
      <c r="C5" s="15" t="n">
        <f aca="false">SUMIFS('Product Backlog'!$F$2:$F$32,'Product Backlog'!$G$2:$G$32,$A5)</f>
        <v>13</v>
      </c>
      <c r="D5" s="15" t="n">
        <f aca="false">SUMIFS('Product Backlog'!$F$2:$F$32,'Product Backlog'!$G$2:$G$32,$A5,'Product Backlog'!$H$2:$H$32,"Hecho")</f>
        <v>13</v>
      </c>
      <c r="E5" s="16" t="n">
        <f aca="false">IF(C5=0,0,D5/C5)</f>
        <v>1</v>
      </c>
      <c r="F5" s="15" t="n">
        <f aca="false">SUM($C$5:$C$11)-SUM($D$5:D5)</f>
        <v>149</v>
      </c>
      <c r="G5" s="15" t="n">
        <f aca="false">SUMIFS('Sprint Backlog'!$F$2:$F$60,'Sprint Backlog'!$B$2:$B$60,$A5)</f>
        <v>29</v>
      </c>
      <c r="H5" s="15" t="n">
        <f aca="false">SUMIFS('Sprint Backlog'!$H$2:$H$60,'Sprint Backlog'!$B$2:$B$60,$A5)</f>
        <v>0</v>
      </c>
      <c r="I5" s="15" t="n">
        <f aca="false">COUNTIFS('Sprint Backlog'!$B$2:$B$60,$A5)</f>
        <v>7</v>
      </c>
      <c r="J5" s="15" t="n">
        <f aca="false">COUNTIFS('Sprint Backlog'!$B$2:$B$60,$A5,'Sprint Backlog'!$G$2:$G$60,"Hecho")</f>
        <v>7</v>
      </c>
    </row>
    <row r="6" customFormat="false" ht="15" hidden="false" customHeight="false" outlineLevel="0" collapsed="false">
      <c r="A6" s="14" t="n">
        <v>2</v>
      </c>
      <c r="B6" s="15" t="s">
        <v>320</v>
      </c>
      <c r="C6" s="15" t="n">
        <f aca="false">SUMIFS('Product Backlog'!$F$2:$F$32,'Product Backlog'!$G$2:$G$32,$A6)</f>
        <v>23</v>
      </c>
      <c r="D6" s="15" t="n">
        <f aca="false">SUMIFS('Product Backlog'!$F$2:$F$32,'Product Backlog'!$G$2:$G$32,$A6,'Product Backlog'!$H$2:$H$32,"Hecho")</f>
        <v>13</v>
      </c>
      <c r="E6" s="16" t="n">
        <f aca="false">IF(C6=0,0,D6/C6)</f>
        <v>0.565217391304348</v>
      </c>
      <c r="F6" s="15" t="n">
        <f aca="false">SUM($C$5:$C$11)-SUM($D$5:D6)</f>
        <v>136</v>
      </c>
      <c r="G6" s="15" t="n">
        <f aca="false">SUMIFS('Sprint Backlog'!$F$2:$F$60,'Sprint Backlog'!$B$2:$B$60,$A6)</f>
        <v>41</v>
      </c>
      <c r="H6" s="15" t="n">
        <f aca="false">SUMIFS('Sprint Backlog'!$H$2:$H$60,'Sprint Backlog'!$B$2:$B$60,$A6)</f>
        <v>0</v>
      </c>
      <c r="I6" s="15" t="n">
        <f aca="false">COUNTIFS('Sprint Backlog'!$B$2:$B$60,$A6)</f>
        <v>8</v>
      </c>
      <c r="J6" s="15" t="n">
        <f aca="false">COUNTIFS('Sprint Backlog'!$B$2:$B$60,$A6,'Sprint Backlog'!$G$2:$G$60,"Hecho")</f>
        <v>4</v>
      </c>
    </row>
    <row r="7" customFormat="false" ht="15" hidden="false" customHeight="false" outlineLevel="0" collapsed="false">
      <c r="A7" s="14" t="n">
        <v>3</v>
      </c>
      <c r="B7" s="15" t="s">
        <v>321</v>
      </c>
      <c r="C7" s="15" t="n">
        <f aca="false">SUMIFS('Product Backlog'!$F$2:$F$32,'Product Backlog'!$G$2:$G$32,$A7)</f>
        <v>23</v>
      </c>
      <c r="D7" s="15" t="n">
        <f aca="false">SUMIFS('Product Backlog'!$F$2:$F$32,'Product Backlog'!$G$2:$G$32,$A7,'Product Backlog'!$H$2:$H$32,"Hecho")</f>
        <v>5</v>
      </c>
      <c r="E7" s="16" t="n">
        <f aca="false">IF(C7=0,0,D7/C7)</f>
        <v>0.217391304347826</v>
      </c>
      <c r="F7" s="15" t="n">
        <f aca="false">SUM($C$5:$C$11)-SUM($D$5:D7)</f>
        <v>131</v>
      </c>
      <c r="G7" s="15" t="n">
        <f aca="false">SUMIFS('Sprint Backlog'!$F$2:$F$60,'Sprint Backlog'!$B$2:$B$60,$A7)</f>
        <v>43</v>
      </c>
      <c r="H7" s="15" t="n">
        <f aca="false">SUMIFS('Sprint Backlog'!$H$2:$H$60,'Sprint Backlog'!$B$2:$B$60,$A7)</f>
        <v>0</v>
      </c>
      <c r="I7" s="15" t="n">
        <f aca="false">COUNTIFS('Sprint Backlog'!$B$2:$B$60,$A7)</f>
        <v>9</v>
      </c>
      <c r="J7" s="15" t="n">
        <f aca="false">COUNTIFS('Sprint Backlog'!$B$2:$B$60,$A7,'Sprint Backlog'!$G$2:$G$60,"Hecho")</f>
        <v>3</v>
      </c>
    </row>
    <row r="8" customFormat="false" ht="15" hidden="false" customHeight="false" outlineLevel="0" collapsed="false">
      <c r="A8" s="14" t="n">
        <v>4</v>
      </c>
      <c r="B8" s="15" t="s">
        <v>322</v>
      </c>
      <c r="C8" s="15" t="n">
        <f aca="false">SUMIFS('Product Backlog'!$F$2:$F$32,'Product Backlog'!$G$2:$G$32,$A8)</f>
        <v>26</v>
      </c>
      <c r="D8" s="15" t="n">
        <f aca="false">SUMIFS('Product Backlog'!$F$2:$F$32,'Product Backlog'!$G$2:$G$32,$A8,'Product Backlog'!$H$2:$H$32,"Hecho")</f>
        <v>18</v>
      </c>
      <c r="E8" s="16" t="n">
        <f aca="false">IF(C8=0,0,D8/C8)</f>
        <v>0.692307692307692</v>
      </c>
      <c r="F8" s="15" t="n">
        <f aca="false">SUM($C$5:$C$11)-SUM($D$5:D8)</f>
        <v>113</v>
      </c>
      <c r="G8" s="15" t="n">
        <f aca="false">SUMIFS('Sprint Backlog'!$F$2:$F$60,'Sprint Backlog'!$B$2:$B$60,$A8)</f>
        <v>41</v>
      </c>
      <c r="H8" s="15" t="n">
        <f aca="false">SUMIFS('Sprint Backlog'!$H$2:$H$60,'Sprint Backlog'!$B$2:$B$60,$A8)</f>
        <v>0</v>
      </c>
      <c r="I8" s="15" t="n">
        <f aca="false">COUNTIFS('Sprint Backlog'!$B$2:$B$60,$A8)</f>
        <v>8</v>
      </c>
      <c r="J8" s="15" t="n">
        <f aca="false">COUNTIFS('Sprint Backlog'!$B$2:$B$60,$A8,'Sprint Backlog'!$G$2:$G$60,"Hecho")</f>
        <v>5</v>
      </c>
    </row>
    <row r="9" customFormat="false" ht="15" hidden="false" customHeight="false" outlineLevel="0" collapsed="false">
      <c r="A9" s="14" t="n">
        <v>5</v>
      </c>
      <c r="B9" s="15" t="s">
        <v>323</v>
      </c>
      <c r="C9" s="15" t="n">
        <f aca="false">SUMIFS('Product Backlog'!$F$2:$F$32,'Product Backlog'!$G$2:$G$32,$A9)</f>
        <v>27</v>
      </c>
      <c r="D9" s="15" t="n">
        <f aca="false">SUMIFS('Product Backlog'!$F$2:$F$32,'Product Backlog'!$G$2:$G$32,$A9,'Product Backlog'!$H$2:$H$32,"Hecho")</f>
        <v>0</v>
      </c>
      <c r="E9" s="16" t="n">
        <f aca="false">IF(C9=0,0,D9/C9)</f>
        <v>0</v>
      </c>
      <c r="F9" s="15" t="n">
        <f aca="false">SUM($C$5:$C$11)-SUM($D$5:D9)</f>
        <v>113</v>
      </c>
      <c r="G9" s="15" t="n">
        <f aca="false">SUMIFS('Sprint Backlog'!$F$2:$F$60,'Sprint Backlog'!$B$2:$B$60,$A9)</f>
        <v>46</v>
      </c>
      <c r="H9" s="15" t="n">
        <f aca="false">SUMIFS('Sprint Backlog'!$H$2:$H$60,'Sprint Backlog'!$B$2:$B$60,$A9)</f>
        <v>0</v>
      </c>
      <c r="I9" s="15" t="n">
        <f aca="false">COUNTIFS('Sprint Backlog'!$B$2:$B$60,$A9)</f>
        <v>10</v>
      </c>
      <c r="J9" s="15" t="n">
        <f aca="false">COUNTIFS('Sprint Backlog'!$B$2:$B$60,$A9,'Sprint Backlog'!$G$2:$G$60,"Hecho")</f>
        <v>0</v>
      </c>
    </row>
    <row r="10" customFormat="false" ht="15" hidden="false" customHeight="false" outlineLevel="0" collapsed="false">
      <c r="A10" s="14" t="n">
        <v>6</v>
      </c>
      <c r="B10" s="15" t="s">
        <v>324</v>
      </c>
      <c r="C10" s="15" t="n">
        <f aca="false">SUMIFS('Product Backlog'!$F$2:$F$32,'Product Backlog'!$G$2:$G$32,$A10)</f>
        <v>23</v>
      </c>
      <c r="D10" s="15" t="n">
        <f aca="false">SUMIFS('Product Backlog'!$F$2:$F$32,'Product Backlog'!$G$2:$G$32,$A10,'Product Backlog'!$H$2:$H$32,"Hecho")</f>
        <v>0</v>
      </c>
      <c r="E10" s="16" t="n">
        <f aca="false">IF(C10=0,0,D10/C10)</f>
        <v>0</v>
      </c>
      <c r="F10" s="15" t="n">
        <f aca="false">SUM($C$5:$C$11)-SUM($D$5:D10)</f>
        <v>113</v>
      </c>
      <c r="G10" s="15" t="n">
        <f aca="false">SUMIFS('Sprint Backlog'!$F$2:$F$60,'Sprint Backlog'!$B$2:$B$60,$A10)</f>
        <v>49</v>
      </c>
      <c r="H10" s="15" t="n">
        <f aca="false">SUMIFS('Sprint Backlog'!$H$2:$H$60,'Sprint Backlog'!$B$2:$B$60,$A10)</f>
        <v>0</v>
      </c>
      <c r="I10" s="15" t="n">
        <f aca="false">COUNTIFS('Sprint Backlog'!$B$2:$B$60,$A10)</f>
        <v>8</v>
      </c>
      <c r="J10" s="15" t="n">
        <f aca="false">COUNTIFS('Sprint Backlog'!$B$2:$B$60,$A10,'Sprint Backlog'!$G$2:$G$60,"Hecho")</f>
        <v>0</v>
      </c>
    </row>
    <row r="11" customFormat="false" ht="15" hidden="false" customHeight="false" outlineLevel="0" collapsed="false">
      <c r="A11" s="14" t="n">
        <v>7</v>
      </c>
      <c r="B11" s="15" t="s">
        <v>325</v>
      </c>
      <c r="C11" s="15" t="n">
        <f aca="false">SUMIFS('Product Backlog'!$F$2:$F$32,'Product Backlog'!$G$2:$G$32,$A11)</f>
        <v>27</v>
      </c>
      <c r="D11" s="15" t="n">
        <f aca="false">SUMIFS('Product Backlog'!$F$2:$F$32,'Product Backlog'!$G$2:$G$32,$A11,'Product Backlog'!$H$2:$H$32,"Hecho")</f>
        <v>0</v>
      </c>
      <c r="E11" s="16" t="n">
        <f aca="false">IF(C11=0,0,D11/C11)</f>
        <v>0</v>
      </c>
      <c r="F11" s="15" t="n">
        <f aca="false">SUM($C$5:$C$11)-SUM($D$5:D11)</f>
        <v>113</v>
      </c>
      <c r="G11" s="15" t="n">
        <f aca="false">SUMIFS('Sprint Backlog'!$F$2:$F$60,'Sprint Backlog'!$B$2:$B$60,$A11)</f>
        <v>48</v>
      </c>
      <c r="H11" s="15" t="n">
        <f aca="false">SUMIFS('Sprint Backlog'!$H$2:$H$60,'Sprint Backlog'!$B$2:$B$60,$A11)</f>
        <v>0</v>
      </c>
      <c r="I11" s="15" t="n">
        <f aca="false">COUNTIFS('Sprint Backlog'!$B$2:$B$60,$A11)</f>
        <v>9</v>
      </c>
      <c r="J11" s="15" t="n">
        <f aca="false">COUNTIFS('Sprint Backlog'!$B$2:$B$60,$A11,'Sprint Backlog'!$G$2:$G$60,"Hecho")</f>
        <v>0</v>
      </c>
    </row>
    <row r="12" customFormat="false" ht="15" hidden="false" customHeight="false" outlineLevel="0" collapsed="false">
      <c r="A12" s="17" t="s">
        <v>326</v>
      </c>
      <c r="B12" s="17"/>
      <c r="C12" s="17" t="n">
        <f aca="false">SUM(C5:C11)</f>
        <v>162</v>
      </c>
      <c r="D12" s="17" t="n">
        <f aca="false">SUM(D5:D11)</f>
        <v>49</v>
      </c>
      <c r="E12" s="18" t="n">
        <f aca="false">IF(C12=0,0,D12/C12)</f>
        <v>0.302469135802469</v>
      </c>
      <c r="F12" s="17" t="n">
        <f aca="false">F11</f>
        <v>113</v>
      </c>
      <c r="G12" s="17" t="n">
        <f aca="false">SUM(G5:G11)</f>
        <v>297</v>
      </c>
      <c r="H12" s="17" t="n">
        <f aca="false">SUM(H5:H11)</f>
        <v>0</v>
      </c>
      <c r="I12" s="17" t="n">
        <f aca="false">SUM(I5:I11)</f>
        <v>59</v>
      </c>
      <c r="J12" s="17" t="n">
        <f aca="false">SUM(J5:J11)</f>
        <v>19</v>
      </c>
    </row>
    <row r="14" customFormat="false" ht="15" hidden="false" customHeight="false" outlineLevel="0" collapsed="false">
      <c r="A14" s="19" t="s">
        <v>327</v>
      </c>
    </row>
    <row r="15" customFormat="false" ht="15" hidden="false" customHeight="false" outlineLevel="0" collapsed="false">
      <c r="A15" s="20" t="s">
        <v>328</v>
      </c>
      <c r="B15" s="21" t="n">
        <f aca="false">COUNTA('Product Backlog'!$A$2:$A$32)</f>
        <v>31</v>
      </c>
    </row>
    <row r="16" customFormat="false" ht="15" hidden="false" customHeight="false" outlineLevel="0" collapsed="false">
      <c r="A16" s="20" t="s">
        <v>329</v>
      </c>
      <c r="B16" s="21" t="n">
        <f aca="false">COUNTIF('Product Backlog'!$H$2:$H$32,"Hecho")</f>
        <v>8</v>
      </c>
    </row>
    <row r="17" customFormat="false" ht="15" hidden="false" customHeight="false" outlineLevel="0" collapsed="false">
      <c r="A17" s="20" t="s">
        <v>330</v>
      </c>
      <c r="B17" s="22" t="n">
        <f aca="false">E12</f>
        <v>0.302469135802469</v>
      </c>
    </row>
    <row r="18" customFormat="false" ht="15" hidden="false" customHeight="false" outlineLevel="0" collapsed="false">
      <c r="A18" s="20" t="s">
        <v>331</v>
      </c>
      <c r="B18" s="21" t="n">
        <f aca="false">COUNTA(Reuniones!$A$2:$A$36)</f>
        <v>35</v>
      </c>
    </row>
    <row r="19" customFormat="false" ht="15" hidden="false" customHeight="false" outlineLevel="0" collapsed="false">
      <c r="A19" s="20" t="s">
        <v>332</v>
      </c>
      <c r="B19" s="21" t="n">
        <f aca="false">COUNTIF(Reuniones!$F$2:$F$36,"Sí")</f>
        <v>0</v>
      </c>
    </row>
    <row r="20" customFormat="false" ht="15" hidden="false" customHeight="false" outlineLevel="0" collapsed="false">
      <c r="A20" s="20" t="s">
        <v>333</v>
      </c>
      <c r="B20" s="22" t="n">
        <f aca="false">IF(B18=0,0,B19/B18)</f>
        <v>0</v>
      </c>
    </row>
    <row r="23" customFormat="false" ht="15" hidden="false" customHeight="false" outlineLevel="0" collapsed="false">
      <c r="A23" s="19" t="s">
        <v>334</v>
      </c>
    </row>
    <row r="24" customFormat="false" ht="31.5" hidden="false" customHeight="true" outlineLevel="0" collapsed="false">
      <c r="A24" s="4" t="s">
        <v>335</v>
      </c>
      <c r="B24" s="4" t="s">
        <v>155</v>
      </c>
      <c r="C24" s="4" t="s">
        <v>156</v>
      </c>
      <c r="D24" s="4" t="s">
        <v>336</v>
      </c>
      <c r="E24" s="4" t="s">
        <v>318</v>
      </c>
    </row>
    <row r="25" customFormat="false" ht="15" hidden="false" customHeight="false" outlineLevel="0" collapsed="false">
      <c r="A25" s="23" t="s">
        <v>160</v>
      </c>
      <c r="B25" s="24" t="n">
        <f aca="false">SUMIFS('Sprint Backlog'!$F$2:$F$60,'Sprint Backlog'!$E$2:$E$60,$A25)</f>
        <v>141</v>
      </c>
      <c r="C25" s="24" t="n">
        <f aca="false">SUMIFS('Sprint Backlog'!$H$2:$H$60,'Sprint Backlog'!$E$2:$E$60,$A25)</f>
        <v>0</v>
      </c>
      <c r="D25" s="24" t="n">
        <f aca="false">COUNTIFS('Sprint Backlog'!$E$2:$E$60,$A25)</f>
        <v>26</v>
      </c>
      <c r="E25" s="24" t="n">
        <f aca="false">COUNTIFS('Sprint Backlog'!$E$2:$E$60,$A25,'Sprint Backlog'!$G$2:$G$60,"Hecho")</f>
        <v>12</v>
      </c>
    </row>
    <row r="26" customFormat="false" ht="15" hidden="false" customHeight="false" outlineLevel="0" collapsed="false">
      <c r="A26" s="23" t="s">
        <v>169</v>
      </c>
      <c r="B26" s="24" t="n">
        <f aca="false">SUMIFS('Sprint Backlog'!$F$2:$F$60,'Sprint Backlog'!$E$2:$E$60,$A26)</f>
        <v>70</v>
      </c>
      <c r="C26" s="24" t="n">
        <f aca="false">SUMIFS('Sprint Backlog'!$H$2:$H$60,'Sprint Backlog'!$E$2:$E$60,$A26)</f>
        <v>0</v>
      </c>
      <c r="D26" s="24" t="n">
        <f aca="false">COUNTIFS('Sprint Backlog'!$E$2:$E$60,$A26)</f>
        <v>15</v>
      </c>
      <c r="E26" s="24" t="n">
        <f aca="false">COUNTIFS('Sprint Backlog'!$E$2:$E$60,$A26,'Sprint Backlog'!$G$2:$G$60,"Hecho")</f>
        <v>3</v>
      </c>
    </row>
    <row r="27" customFormat="false" ht="15" hidden="false" customHeight="false" outlineLevel="0" collapsed="false">
      <c r="A27" s="23" t="s">
        <v>174</v>
      </c>
      <c r="B27" s="24" t="n">
        <f aca="false">SUMIFS('Sprint Backlog'!$F$2:$F$60,'Sprint Backlog'!$E$2:$E$60,$A27)</f>
        <v>86</v>
      </c>
      <c r="C27" s="24" t="n">
        <f aca="false">SUMIFS('Sprint Backlog'!$H$2:$H$60,'Sprint Backlog'!$E$2:$E$60,$A27)</f>
        <v>0</v>
      </c>
      <c r="D27" s="24" t="n">
        <f aca="false">COUNTIFS('Sprint Backlog'!$E$2:$E$60,$A27)</f>
        <v>18</v>
      </c>
      <c r="E27" s="24" t="n">
        <f aca="false">COUNTIFS('Sprint Backlog'!$E$2:$E$60,$A27,'Sprint Backlog'!$G$2:$G$60,"Hecho")</f>
        <v>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2026-10-27T22:29:21Z</dcterms:created>
  <dc:creator>openpyxl</dc:creator>
  <dc:description/>
  <dc:language>en-US</dc:language>
  <cp:lastModifiedBy/>
  <dcterms:modified xsi:type="dcterms:W3CDTF">2026-10-27T22:29:23Z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